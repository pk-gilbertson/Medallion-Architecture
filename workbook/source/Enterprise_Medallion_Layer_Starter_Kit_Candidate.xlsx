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D11127\Downloads\"/>
    </mc:Choice>
  </mc:AlternateContent>
  <xr:revisionPtr revIDLastSave="0" documentId="13_ncr:20001_{9BFDA6AB-EE30-471B-AA49-FD4CE522FBE3}" xr6:coauthVersionLast="47" xr6:coauthVersionMax="47" xr10:uidLastSave="{00000000-0000-0000-0000-000000000000}"/>
  <bookViews>
    <workbookView xWindow="13080" yWindow="1605" windowWidth="33435" windowHeight="17370" firstSheet="4" activeTab="5" xr2:uid="{00000000-000D-0000-FFFF-FFFF00000000}"/>
  </bookViews>
  <sheets>
    <sheet name="00 Kit Guide" sheetId="1" r:id="rId1"/>
    <sheet name="01 Workshop Plan" sheetId="2" r:id="rId2"/>
    <sheet name="02 Source Inventory" sheetId="3" r:id="rId3"/>
    <sheet name="03 Bronze Intake" sheetId="4" r:id="rId4"/>
    <sheet name="04A Silver Dataset Design" sheetId="16" r:id="rId5"/>
    <sheet name="04B Silver Field Treatment" sheetId="5" r:id="rId6"/>
    <sheet name="05 Data Quality Rules" sheetId="6" r:id="rId7"/>
    <sheet name="06 Gold Product" sheetId="7" r:id="rId8"/>
    <sheet name="07 Access &amp; Sharing" sheetId="8" r:id="rId9"/>
    <sheet name="08 Roles" sheetId="9" r:id="rId10"/>
    <sheet name="09 Decisions" sheetId="10" r:id="rId11"/>
    <sheet name="10 RAID Log" sheetId="11" r:id="rId12"/>
    <sheet name="11 Lists" sheetId="12" r:id="rId13"/>
    <sheet name="90 Facilitator &amp; Sponsor View" sheetId="13" r:id="rId14"/>
    <sheet name="91 Data Steward View" sheetId="14" r:id="rId15"/>
    <sheet name="92 Databricks Implementer View" sheetId="15"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B6" i="5"/>
  <c r="A5" i="15"/>
  <c r="B6" i="16"/>
  <c r="B7" i="16"/>
  <c r="C7" i="16"/>
  <c r="C6" i="16"/>
  <c r="B6" i="4"/>
  <c r="B7"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A104" i="15"/>
  <c r="Q103" i="15"/>
  <c r="A103" i="15"/>
  <c r="D103" i="15" s="1"/>
  <c r="Q102" i="15"/>
  <c r="I102" i="15"/>
  <c r="G102" i="15"/>
  <c r="F102" i="15"/>
  <c r="A102" i="15"/>
  <c r="H101" i="15"/>
  <c r="G101" i="15"/>
  <c r="F101" i="15"/>
  <c r="E101" i="15"/>
  <c r="C101" i="15"/>
  <c r="A101" i="15"/>
  <c r="A100" i="15"/>
  <c r="Q99" i="15"/>
  <c r="A99" i="15"/>
  <c r="C99" i="15" s="1"/>
  <c r="A98" i="15"/>
  <c r="Q97" i="15"/>
  <c r="P97" i="15"/>
  <c r="O97" i="15"/>
  <c r="N97" i="15"/>
  <c r="L97" i="15"/>
  <c r="J97" i="15"/>
  <c r="A97" i="15"/>
  <c r="A96" i="15"/>
  <c r="M96" i="15" s="1"/>
  <c r="A95" i="15"/>
  <c r="Q95" i="15" s="1"/>
  <c r="Q94" i="15"/>
  <c r="O94" i="15"/>
  <c r="M94" i="15"/>
  <c r="L94" i="15"/>
  <c r="J94" i="15"/>
  <c r="I94" i="15"/>
  <c r="F94" i="15"/>
  <c r="A94" i="15"/>
  <c r="F93" i="15"/>
  <c r="A93" i="15"/>
  <c r="O92" i="15"/>
  <c r="N92" i="15"/>
  <c r="L92" i="15"/>
  <c r="J92" i="15"/>
  <c r="I92" i="15"/>
  <c r="H92" i="15"/>
  <c r="G92" i="15"/>
  <c r="F92" i="15"/>
  <c r="D92" i="15"/>
  <c r="C92" i="15"/>
  <c r="A92" i="15"/>
  <c r="Q92" i="15" s="1"/>
  <c r="O91" i="15"/>
  <c r="K91" i="15"/>
  <c r="J91" i="15"/>
  <c r="I91" i="15"/>
  <c r="G91" i="15"/>
  <c r="F91" i="15"/>
  <c r="A91" i="15"/>
  <c r="A90" i="15"/>
  <c r="A89" i="15"/>
  <c r="P88" i="15"/>
  <c r="O88" i="15"/>
  <c r="N88" i="15"/>
  <c r="H88" i="15"/>
  <c r="G88" i="15"/>
  <c r="E88" i="15"/>
  <c r="A88" i="15"/>
  <c r="A87" i="15"/>
  <c r="Q86" i="15"/>
  <c r="K86" i="15"/>
  <c r="G86" i="15"/>
  <c r="F86" i="15"/>
  <c r="A86" i="15"/>
  <c r="N85" i="15"/>
  <c r="A85" i="15"/>
  <c r="J85" i="15" s="1"/>
  <c r="A84" i="15"/>
  <c r="C84" i="15" s="1"/>
  <c r="A83" i="15"/>
  <c r="Q83" i="15" s="1"/>
  <c r="A82" i="15"/>
  <c r="B82" i="15" s="1"/>
  <c r="Q81" i="15"/>
  <c r="P81" i="15"/>
  <c r="L81" i="15"/>
  <c r="G81" i="15"/>
  <c r="D81" i="15"/>
  <c r="A81" i="15"/>
  <c r="Q80" i="15"/>
  <c r="P80" i="15"/>
  <c r="O80" i="15"/>
  <c r="M80" i="15"/>
  <c r="L80" i="15"/>
  <c r="K80" i="15"/>
  <c r="J80" i="15"/>
  <c r="G80" i="15"/>
  <c r="F80" i="15"/>
  <c r="D80" i="15"/>
  <c r="C80" i="15"/>
  <c r="A80" i="15"/>
  <c r="A79" i="15"/>
  <c r="Q78" i="15"/>
  <c r="H78" i="15"/>
  <c r="A78" i="15"/>
  <c r="G78" i="15" s="1"/>
  <c r="P77" i="15"/>
  <c r="O77" i="15"/>
  <c r="N77" i="15"/>
  <c r="M77" i="15"/>
  <c r="J77" i="15"/>
  <c r="G77" i="15"/>
  <c r="F77" i="15"/>
  <c r="E77" i="15"/>
  <c r="C77" i="15"/>
  <c r="A77" i="15"/>
  <c r="O76" i="15"/>
  <c r="N76" i="15"/>
  <c r="E76" i="15"/>
  <c r="D76" i="15"/>
  <c r="A76" i="15"/>
  <c r="P75" i="15"/>
  <c r="L75" i="15"/>
  <c r="K75" i="15"/>
  <c r="J75" i="15"/>
  <c r="H75" i="15"/>
  <c r="G75" i="15"/>
  <c r="F75" i="15"/>
  <c r="D75" i="15"/>
  <c r="B75" i="15"/>
  <c r="A75" i="15"/>
  <c r="Q74" i="15"/>
  <c r="M74" i="15"/>
  <c r="J74" i="15"/>
  <c r="A74" i="15"/>
  <c r="M73" i="15"/>
  <c r="L73" i="15"/>
  <c r="K73" i="15"/>
  <c r="A73" i="15"/>
  <c r="P72" i="15"/>
  <c r="O72" i="15"/>
  <c r="N72" i="15"/>
  <c r="M72" i="15"/>
  <c r="L72" i="15"/>
  <c r="K72" i="15"/>
  <c r="J72" i="15"/>
  <c r="I72" i="15"/>
  <c r="H72" i="15"/>
  <c r="G72" i="15"/>
  <c r="E72" i="15"/>
  <c r="D72" i="15"/>
  <c r="C72" i="15"/>
  <c r="A72" i="15"/>
  <c r="Q72" i="15" s="1"/>
  <c r="A71" i="15"/>
  <c r="I71" i="15" s="1"/>
  <c r="G70" i="15"/>
  <c r="F70" i="15"/>
  <c r="E70" i="15"/>
  <c r="D70" i="15"/>
  <c r="A70" i="15"/>
  <c r="P70" i="15" s="1"/>
  <c r="Q69" i="15"/>
  <c r="O69" i="15"/>
  <c r="N69" i="15"/>
  <c r="C69" i="15"/>
  <c r="A69" i="15"/>
  <c r="P68" i="15"/>
  <c r="N68" i="15"/>
  <c r="M68" i="15"/>
  <c r="I68" i="15"/>
  <c r="H68" i="15"/>
  <c r="A68" i="15"/>
  <c r="P67" i="15"/>
  <c r="O67" i="15"/>
  <c r="A67" i="15"/>
  <c r="H67" i="15" s="1"/>
  <c r="K66" i="15"/>
  <c r="J66" i="15"/>
  <c r="H66" i="15"/>
  <c r="F66" i="15"/>
  <c r="E66" i="15"/>
  <c r="D66" i="15"/>
  <c r="C66" i="15"/>
  <c r="A66" i="15"/>
  <c r="N66" i="15" s="1"/>
  <c r="A65" i="15"/>
  <c r="D64" i="15"/>
  <c r="A64" i="15"/>
  <c r="C64" i="15" s="1"/>
  <c r="A63" i="15"/>
  <c r="L63" i="15" s="1"/>
  <c r="Q62" i="15"/>
  <c r="O62" i="15"/>
  <c r="N62" i="15"/>
  <c r="M62" i="15"/>
  <c r="L62" i="15"/>
  <c r="J62" i="15"/>
  <c r="I62" i="15"/>
  <c r="H62" i="15"/>
  <c r="F62" i="15"/>
  <c r="C62" i="15"/>
  <c r="B62" i="15"/>
  <c r="A62" i="15"/>
  <c r="A61" i="15"/>
  <c r="E61" i="15" s="1"/>
  <c r="A60" i="15"/>
  <c r="I60" i="15" s="1"/>
  <c r="Q59" i="15"/>
  <c r="P59" i="15"/>
  <c r="O59" i="15"/>
  <c r="M59" i="15"/>
  <c r="L59" i="15"/>
  <c r="K59" i="15"/>
  <c r="J59" i="15"/>
  <c r="I59" i="15"/>
  <c r="H59" i="15"/>
  <c r="G59" i="15"/>
  <c r="D59" i="15"/>
  <c r="A59" i="15"/>
  <c r="F59" i="15" s="1"/>
  <c r="Q58" i="15"/>
  <c r="P58" i="15"/>
  <c r="H58" i="15"/>
  <c r="F58" i="15"/>
  <c r="A58" i="15"/>
  <c r="G58" i="15" s="1"/>
  <c r="A57" i="15"/>
  <c r="A56" i="15"/>
  <c r="B56" i="15" s="1"/>
  <c r="Q55" i="15"/>
  <c r="P55" i="15"/>
  <c r="I55" i="15"/>
  <c r="H55" i="15"/>
  <c r="A55" i="15"/>
  <c r="Q54" i="15"/>
  <c r="P54" i="15"/>
  <c r="N54" i="15"/>
  <c r="M54" i="15"/>
  <c r="L54" i="15"/>
  <c r="J54" i="15"/>
  <c r="A54" i="15"/>
  <c r="K54" i="15" s="1"/>
  <c r="P53" i="15"/>
  <c r="O53" i="15"/>
  <c r="M53" i="15"/>
  <c r="K53" i="15"/>
  <c r="J53" i="15"/>
  <c r="H53" i="15"/>
  <c r="G53" i="15"/>
  <c r="F53" i="15"/>
  <c r="E53" i="15"/>
  <c r="B53" i="15"/>
  <c r="A53" i="15"/>
  <c r="L53" i="15" s="1"/>
  <c r="A52" i="15"/>
  <c r="B52" i="15" s="1"/>
  <c r="I51" i="15"/>
  <c r="E51" i="15"/>
  <c r="D51" i="15"/>
  <c r="A51" i="15"/>
  <c r="A50" i="15"/>
  <c r="D50" i="15" s="1"/>
  <c r="A49" i="15"/>
  <c r="N49" i="15" s="1"/>
  <c r="Q48" i="15"/>
  <c r="P48" i="15"/>
  <c r="A48" i="15"/>
  <c r="H48" i="15" s="1"/>
  <c r="Q47" i="15"/>
  <c r="P47" i="15"/>
  <c r="N47" i="15"/>
  <c r="M47" i="15"/>
  <c r="L47" i="15"/>
  <c r="K47" i="15"/>
  <c r="H47" i="15"/>
  <c r="G47" i="15"/>
  <c r="E47" i="15"/>
  <c r="D47" i="15"/>
  <c r="C47" i="15"/>
  <c r="B47" i="15"/>
  <c r="A47" i="15"/>
  <c r="F46" i="15"/>
  <c r="D46" i="15"/>
  <c r="A46" i="15"/>
  <c r="P45" i="15"/>
  <c r="O45" i="15"/>
  <c r="N45" i="15"/>
  <c r="G45" i="15"/>
  <c r="F45" i="15"/>
  <c r="E45" i="15"/>
  <c r="A45" i="15"/>
  <c r="F44" i="15"/>
  <c r="A44" i="15"/>
  <c r="A43" i="15"/>
  <c r="D43" i="15" s="1"/>
  <c r="P42" i="15"/>
  <c r="L42" i="15"/>
  <c r="K42" i="15"/>
  <c r="A42" i="15"/>
  <c r="F42" i="15" s="1"/>
  <c r="Q41" i="15"/>
  <c r="O41" i="15"/>
  <c r="M41" i="15"/>
  <c r="L41" i="15"/>
  <c r="K41" i="15"/>
  <c r="J41" i="15"/>
  <c r="I41" i="15"/>
  <c r="H41" i="15"/>
  <c r="A41" i="15"/>
  <c r="N40" i="15"/>
  <c r="M40" i="15"/>
  <c r="F40" i="15"/>
  <c r="E40" i="15"/>
  <c r="A40" i="15"/>
  <c r="A39" i="15"/>
  <c r="N39" i="15" s="1"/>
  <c r="P38" i="15"/>
  <c r="O38" i="15"/>
  <c r="K38" i="15"/>
  <c r="J38" i="15"/>
  <c r="A38" i="15"/>
  <c r="A37" i="15"/>
  <c r="H37" i="15" s="1"/>
  <c r="D36" i="15"/>
  <c r="A36" i="15"/>
  <c r="N35" i="15"/>
  <c r="A35" i="15"/>
  <c r="Q34" i="15"/>
  <c r="N34" i="15"/>
  <c r="M34" i="15"/>
  <c r="J34" i="15"/>
  <c r="I34" i="15"/>
  <c r="H34" i="15"/>
  <c r="F34" i="15"/>
  <c r="E34" i="15"/>
  <c r="A34" i="15"/>
  <c r="C34" i="15" s="1"/>
  <c r="Q33" i="15"/>
  <c r="I33" i="15"/>
  <c r="F33" i="15"/>
  <c r="A33" i="15"/>
  <c r="C33" i="15" s="1"/>
  <c r="Q32" i="15"/>
  <c r="K32" i="15"/>
  <c r="J32" i="15"/>
  <c r="G32" i="15"/>
  <c r="A32" i="15"/>
  <c r="B32" i="15" s="1"/>
  <c r="D31" i="15"/>
  <c r="C31" i="15"/>
  <c r="A31" i="15"/>
  <c r="A30" i="15"/>
  <c r="Q30" i="15" s="1"/>
  <c r="A29" i="15"/>
  <c r="P29" i="15" s="1"/>
  <c r="P28" i="15"/>
  <c r="O28" i="15"/>
  <c r="N28" i="15"/>
  <c r="L28" i="15"/>
  <c r="K28" i="15"/>
  <c r="J28" i="15"/>
  <c r="I28" i="15"/>
  <c r="A28" i="15"/>
  <c r="H27" i="15"/>
  <c r="F27" i="15"/>
  <c r="E27" i="15"/>
  <c r="A27" i="15"/>
  <c r="A26" i="15"/>
  <c r="N25" i="15"/>
  <c r="M25" i="15"/>
  <c r="L25" i="15"/>
  <c r="K25" i="15"/>
  <c r="J25" i="15"/>
  <c r="I25" i="15"/>
  <c r="H25" i="15"/>
  <c r="G25" i="15"/>
  <c r="F25" i="15"/>
  <c r="C25" i="15"/>
  <c r="B25" i="15"/>
  <c r="A25" i="15"/>
  <c r="Q25" i="15" s="1"/>
  <c r="O24" i="15"/>
  <c r="L24" i="15"/>
  <c r="K24" i="15"/>
  <c r="J24" i="15"/>
  <c r="I24" i="15"/>
  <c r="H24" i="15"/>
  <c r="G24" i="15"/>
  <c r="F24" i="15"/>
  <c r="E24" i="15"/>
  <c r="D24" i="15"/>
  <c r="C24" i="15"/>
  <c r="B24" i="15"/>
  <c r="A24" i="15"/>
  <c r="Q24" i="15" s="1"/>
  <c r="L23" i="15"/>
  <c r="H23" i="15"/>
  <c r="F23" i="15"/>
  <c r="A23" i="15"/>
  <c r="A22" i="15"/>
  <c r="K22" i="15" s="1"/>
  <c r="O21" i="15"/>
  <c r="N21" i="15"/>
  <c r="B21" i="15"/>
  <c r="A21" i="15"/>
  <c r="Q20" i="15"/>
  <c r="P20" i="15"/>
  <c r="N20" i="15"/>
  <c r="M20" i="15"/>
  <c r="L20" i="15"/>
  <c r="H20" i="15"/>
  <c r="A20" i="15"/>
  <c r="P19" i="15"/>
  <c r="O19" i="15"/>
  <c r="M19" i="15"/>
  <c r="L19" i="15"/>
  <c r="J19" i="15"/>
  <c r="I19" i="15"/>
  <c r="H19" i="15"/>
  <c r="G19" i="15"/>
  <c r="E19" i="15"/>
  <c r="D19" i="15"/>
  <c r="B19" i="15"/>
  <c r="A19" i="15"/>
  <c r="C19" i="15" s="1"/>
  <c r="A18" i="15"/>
  <c r="B18" i="15" s="1"/>
  <c r="A17" i="15"/>
  <c r="Q17" i="15" s="1"/>
  <c r="J16" i="15"/>
  <c r="D16" i="15"/>
  <c r="A16" i="15"/>
  <c r="L15" i="15"/>
  <c r="K15" i="15"/>
  <c r="E15" i="15"/>
  <c r="D15" i="15"/>
  <c r="A15" i="15"/>
  <c r="I15" i="15" s="1"/>
  <c r="A14" i="15"/>
  <c r="B14" i="15" s="1"/>
  <c r="A13" i="15"/>
  <c r="M13" i="15" s="1"/>
  <c r="Q12" i="15"/>
  <c r="O12" i="15"/>
  <c r="N12" i="15"/>
  <c r="K12" i="15"/>
  <c r="A12" i="15"/>
  <c r="P11" i="15"/>
  <c r="N11" i="15"/>
  <c r="I11" i="15"/>
  <c r="H11" i="15"/>
  <c r="E11" i="15"/>
  <c r="A11" i="15"/>
  <c r="A10" i="15"/>
  <c r="Q9" i="15"/>
  <c r="P9" i="15"/>
  <c r="O9" i="15"/>
  <c r="N9" i="15"/>
  <c r="M9" i="15"/>
  <c r="L9" i="15"/>
  <c r="K9" i="15"/>
  <c r="J9" i="15"/>
  <c r="I9" i="15"/>
  <c r="B9" i="15"/>
  <c r="A9" i="15"/>
  <c r="H9" i="15" s="1"/>
  <c r="P8" i="15"/>
  <c r="O8" i="15"/>
  <c r="N8" i="15"/>
  <c r="M8" i="15"/>
  <c r="L8" i="15"/>
  <c r="K8" i="15"/>
  <c r="J8" i="15"/>
  <c r="I8" i="15"/>
  <c r="H8" i="15"/>
  <c r="F8" i="15"/>
  <c r="C8" i="15"/>
  <c r="A8" i="15"/>
  <c r="Q8" i="15" s="1"/>
  <c r="A7" i="15"/>
  <c r="I7" i="15" s="1"/>
  <c r="A6" i="15"/>
  <c r="C6" i="15" s="1"/>
  <c r="A104" i="14"/>
  <c r="A103" i="14"/>
  <c r="A102" i="14"/>
  <c r="H102" i="14" s="1"/>
  <c r="A101" i="14"/>
  <c r="H101" i="14" s="1"/>
  <c r="A100" i="14"/>
  <c r="Q99" i="14"/>
  <c r="O99" i="14"/>
  <c r="N99" i="14"/>
  <c r="L99" i="14"/>
  <c r="J99" i="14"/>
  <c r="F99" i="14"/>
  <c r="E99" i="14"/>
  <c r="D99" i="14"/>
  <c r="A99" i="14"/>
  <c r="C99" i="14" s="1"/>
  <c r="P98" i="14"/>
  <c r="M98" i="14"/>
  <c r="L98" i="14"/>
  <c r="K98" i="14"/>
  <c r="J98" i="14"/>
  <c r="I98" i="14"/>
  <c r="H98" i="14"/>
  <c r="G98" i="14"/>
  <c r="F98" i="14"/>
  <c r="E98" i="14"/>
  <c r="D98" i="14"/>
  <c r="C98" i="14"/>
  <c r="A98" i="14"/>
  <c r="Q98" i="14" s="1"/>
  <c r="A97" i="14"/>
  <c r="A96" i="14"/>
  <c r="P95" i="14"/>
  <c r="O95" i="14"/>
  <c r="N95" i="14"/>
  <c r="A95" i="14"/>
  <c r="P94" i="14"/>
  <c r="A94" i="14"/>
  <c r="O94" i="14" s="1"/>
  <c r="A93" i="14"/>
  <c r="Q93" i="14" s="1"/>
  <c r="Q92" i="14"/>
  <c r="B92" i="14"/>
  <c r="A92" i="14"/>
  <c r="P91" i="14"/>
  <c r="M91" i="14"/>
  <c r="L91" i="14"/>
  <c r="K91" i="14"/>
  <c r="A91" i="14"/>
  <c r="M90" i="14"/>
  <c r="L90" i="14"/>
  <c r="J90" i="14"/>
  <c r="H90" i="14"/>
  <c r="F90" i="14"/>
  <c r="A90" i="14"/>
  <c r="P89" i="14"/>
  <c r="M89" i="14"/>
  <c r="K89" i="14"/>
  <c r="I89" i="14"/>
  <c r="F89" i="14"/>
  <c r="E89" i="14"/>
  <c r="D89" i="14"/>
  <c r="B89" i="14"/>
  <c r="A89" i="14"/>
  <c r="A88" i="14"/>
  <c r="M87" i="14"/>
  <c r="K87" i="14"/>
  <c r="I87" i="14"/>
  <c r="H87" i="14"/>
  <c r="E87" i="14"/>
  <c r="B87" i="14"/>
  <c r="A87" i="14"/>
  <c r="A86" i="14"/>
  <c r="E86" i="14" s="1"/>
  <c r="O85" i="14"/>
  <c r="M85" i="14"/>
  <c r="A85" i="14"/>
  <c r="Q85" i="14" s="1"/>
  <c r="O84" i="14"/>
  <c r="N84" i="14"/>
  <c r="K84" i="14"/>
  <c r="H84" i="14"/>
  <c r="G84" i="14"/>
  <c r="F84" i="14"/>
  <c r="D84" i="14"/>
  <c r="C84" i="14"/>
  <c r="B84" i="14"/>
  <c r="A84" i="14"/>
  <c r="P84" i="14" s="1"/>
  <c r="Q83" i="14"/>
  <c r="O83" i="14"/>
  <c r="M83" i="14"/>
  <c r="A83" i="14"/>
  <c r="P82" i="14"/>
  <c r="M82" i="14"/>
  <c r="L82" i="14"/>
  <c r="K82" i="14"/>
  <c r="J82" i="14"/>
  <c r="I82" i="14"/>
  <c r="H82" i="14"/>
  <c r="G82" i="14"/>
  <c r="D82" i="14"/>
  <c r="A82" i="14"/>
  <c r="C82" i="14" s="1"/>
  <c r="A81" i="14"/>
  <c r="P80" i="14"/>
  <c r="O80" i="14"/>
  <c r="M80" i="14"/>
  <c r="L80" i="14"/>
  <c r="K80" i="14"/>
  <c r="J80" i="14"/>
  <c r="I80" i="14"/>
  <c r="H80" i="14"/>
  <c r="G80" i="14"/>
  <c r="C80" i="14"/>
  <c r="A80" i="14"/>
  <c r="E80" i="14" s="1"/>
  <c r="Q79" i="14"/>
  <c r="P79" i="14"/>
  <c r="O79" i="14"/>
  <c r="M79" i="14"/>
  <c r="L79" i="14"/>
  <c r="K79" i="14"/>
  <c r="J79" i="14"/>
  <c r="I79" i="14"/>
  <c r="H79" i="14"/>
  <c r="G79" i="14"/>
  <c r="A79" i="14"/>
  <c r="E79" i="14" s="1"/>
  <c r="O78" i="14"/>
  <c r="L78" i="14"/>
  <c r="K78" i="14"/>
  <c r="J78" i="14"/>
  <c r="H78" i="14"/>
  <c r="F78" i="14"/>
  <c r="D78" i="14"/>
  <c r="B78" i="14"/>
  <c r="A78" i="14"/>
  <c r="A77" i="14"/>
  <c r="C77" i="14" s="1"/>
  <c r="Q76" i="14"/>
  <c r="J76" i="14"/>
  <c r="A76" i="14"/>
  <c r="B76" i="14" s="1"/>
  <c r="D75" i="14"/>
  <c r="C75" i="14"/>
  <c r="B75" i="14"/>
  <c r="A75" i="14"/>
  <c r="A74" i="14"/>
  <c r="Q74" i="14" s="1"/>
  <c r="Q73" i="14"/>
  <c r="P73" i="14"/>
  <c r="O73" i="14"/>
  <c r="N73" i="14"/>
  <c r="M73" i="14"/>
  <c r="K73" i="14"/>
  <c r="B73" i="14"/>
  <c r="A73" i="14"/>
  <c r="I73" i="14" s="1"/>
  <c r="P72" i="14"/>
  <c r="O72" i="14"/>
  <c r="F72" i="14"/>
  <c r="A72" i="14"/>
  <c r="A71" i="14"/>
  <c r="Q71" i="14" s="1"/>
  <c r="A70" i="14"/>
  <c r="F70" i="14" s="1"/>
  <c r="O69" i="14"/>
  <c r="N69" i="14"/>
  <c r="M69" i="14"/>
  <c r="K69" i="14"/>
  <c r="J69" i="14"/>
  <c r="G69" i="14"/>
  <c r="D69" i="14"/>
  <c r="C69" i="14"/>
  <c r="B69" i="14"/>
  <c r="A69" i="14"/>
  <c r="Q69" i="14" s="1"/>
  <c r="P68" i="14"/>
  <c r="O68" i="14"/>
  <c r="N68" i="14"/>
  <c r="M68" i="14"/>
  <c r="L68" i="14"/>
  <c r="K68" i="14"/>
  <c r="J68" i="14"/>
  <c r="G68" i="14"/>
  <c r="D68" i="14"/>
  <c r="C68" i="14"/>
  <c r="B68" i="14"/>
  <c r="A68" i="14"/>
  <c r="Q68" i="14" s="1"/>
  <c r="K67" i="14"/>
  <c r="J67" i="14"/>
  <c r="G67" i="14"/>
  <c r="D67" i="14"/>
  <c r="C67" i="14"/>
  <c r="A67" i="14"/>
  <c r="O66" i="14"/>
  <c r="N66" i="14"/>
  <c r="K66" i="14"/>
  <c r="J66" i="14"/>
  <c r="A66" i="14"/>
  <c r="B66" i="14" s="1"/>
  <c r="Q65" i="14"/>
  <c r="N65" i="14"/>
  <c r="M65" i="14"/>
  <c r="L65" i="14"/>
  <c r="K65" i="14"/>
  <c r="J65" i="14"/>
  <c r="I65" i="14"/>
  <c r="H65" i="14"/>
  <c r="A65" i="14"/>
  <c r="Q64" i="14"/>
  <c r="O64" i="14"/>
  <c r="N64" i="14"/>
  <c r="M64" i="14"/>
  <c r="L64" i="14"/>
  <c r="K64" i="14"/>
  <c r="J64" i="14"/>
  <c r="I64" i="14"/>
  <c r="H64" i="14"/>
  <c r="G64" i="14"/>
  <c r="C64" i="14"/>
  <c r="A64" i="14"/>
  <c r="E64" i="14" s="1"/>
  <c r="Q63" i="14"/>
  <c r="O63" i="14"/>
  <c r="N63" i="14"/>
  <c r="M63" i="14"/>
  <c r="L63" i="14"/>
  <c r="K63" i="14"/>
  <c r="J63" i="14"/>
  <c r="I63" i="14"/>
  <c r="H63" i="14"/>
  <c r="G63" i="14"/>
  <c r="E63" i="14"/>
  <c r="B63" i="14"/>
  <c r="A63" i="14"/>
  <c r="F63" i="14" s="1"/>
  <c r="O62" i="14"/>
  <c r="N62" i="14"/>
  <c r="M62" i="14"/>
  <c r="K62" i="14"/>
  <c r="J62" i="14"/>
  <c r="I62" i="14"/>
  <c r="H62" i="14"/>
  <c r="F62" i="14"/>
  <c r="E62" i="14"/>
  <c r="A62" i="14"/>
  <c r="N61" i="14"/>
  <c r="M61" i="14"/>
  <c r="L61" i="14"/>
  <c r="K61" i="14"/>
  <c r="J61" i="14"/>
  <c r="I61" i="14"/>
  <c r="G61" i="14"/>
  <c r="F61" i="14"/>
  <c r="E61" i="14"/>
  <c r="D61" i="14"/>
  <c r="C61" i="14"/>
  <c r="A61" i="14"/>
  <c r="H61" i="14" s="1"/>
  <c r="Q60" i="14"/>
  <c r="O60" i="14"/>
  <c r="N60" i="14"/>
  <c r="M60" i="14"/>
  <c r="L60" i="14"/>
  <c r="K60" i="14"/>
  <c r="J60" i="14"/>
  <c r="H60" i="14"/>
  <c r="G60" i="14"/>
  <c r="F60" i="14"/>
  <c r="E60" i="14"/>
  <c r="D60" i="14"/>
  <c r="C60" i="14"/>
  <c r="B60" i="14"/>
  <c r="A60" i="14"/>
  <c r="I60" i="14" s="1"/>
  <c r="D59" i="14"/>
  <c r="A59" i="14"/>
  <c r="N58" i="14"/>
  <c r="J58" i="14"/>
  <c r="I58" i="14"/>
  <c r="H58" i="14"/>
  <c r="F58" i="14"/>
  <c r="E58" i="14"/>
  <c r="D58" i="14"/>
  <c r="C58" i="14"/>
  <c r="A58" i="14"/>
  <c r="A57" i="14"/>
  <c r="D57" i="14" s="1"/>
  <c r="K56" i="14"/>
  <c r="H56" i="14"/>
  <c r="A56" i="14"/>
  <c r="A55" i="14"/>
  <c r="F54" i="14"/>
  <c r="E54" i="14"/>
  <c r="D54" i="14"/>
  <c r="B54" i="14"/>
  <c r="A54" i="14"/>
  <c r="I54" i="14" s="1"/>
  <c r="Q53" i="14"/>
  <c r="N53" i="14"/>
  <c r="K53" i="14"/>
  <c r="H53" i="14"/>
  <c r="A53" i="14"/>
  <c r="C53" i="14" s="1"/>
  <c r="A52" i="14"/>
  <c r="P52" i="14" s="1"/>
  <c r="Q51" i="14"/>
  <c r="O51" i="14"/>
  <c r="N51" i="14"/>
  <c r="M51" i="14"/>
  <c r="L51" i="14"/>
  <c r="K51" i="14"/>
  <c r="H51" i="14"/>
  <c r="E51" i="14"/>
  <c r="D51" i="14"/>
  <c r="C51" i="14"/>
  <c r="A51" i="14"/>
  <c r="B51" i="14" s="1"/>
  <c r="A50" i="14"/>
  <c r="O50" i="14" s="1"/>
  <c r="O49" i="14"/>
  <c r="A49" i="14"/>
  <c r="K49" i="14" s="1"/>
  <c r="J48" i="14"/>
  <c r="I48" i="14"/>
  <c r="H48" i="14"/>
  <c r="A48" i="14"/>
  <c r="Q47" i="14"/>
  <c r="O47" i="14"/>
  <c r="N47" i="14"/>
  <c r="M47" i="14"/>
  <c r="L47" i="14"/>
  <c r="K47" i="14"/>
  <c r="J47" i="14"/>
  <c r="I47" i="14"/>
  <c r="H47" i="14"/>
  <c r="G47" i="14"/>
  <c r="C47" i="14"/>
  <c r="A47" i="14"/>
  <c r="F47" i="14" s="1"/>
  <c r="Q46" i="14"/>
  <c r="O46" i="14"/>
  <c r="N46" i="14"/>
  <c r="M46" i="14"/>
  <c r="L46" i="14"/>
  <c r="K46" i="14"/>
  <c r="J46" i="14"/>
  <c r="I46" i="14"/>
  <c r="H46" i="14"/>
  <c r="F46" i="14"/>
  <c r="E46" i="14"/>
  <c r="B46" i="14"/>
  <c r="A46" i="14"/>
  <c r="G46" i="14" s="1"/>
  <c r="N45" i="14"/>
  <c r="M45" i="14"/>
  <c r="K45" i="14"/>
  <c r="J45" i="14"/>
  <c r="I45" i="14"/>
  <c r="G45" i="14"/>
  <c r="F45" i="14"/>
  <c r="E45" i="14"/>
  <c r="D45" i="14"/>
  <c r="A45" i="14"/>
  <c r="O45" i="14" s="1"/>
  <c r="N44" i="14"/>
  <c r="M44" i="14"/>
  <c r="L44" i="14"/>
  <c r="K44" i="14"/>
  <c r="J44" i="14"/>
  <c r="H44" i="14"/>
  <c r="G44" i="14"/>
  <c r="F44" i="14"/>
  <c r="E44" i="14"/>
  <c r="D44" i="14"/>
  <c r="C44" i="14"/>
  <c r="A44" i="14"/>
  <c r="I44" i="14" s="1"/>
  <c r="Q43" i="14"/>
  <c r="M43" i="14"/>
  <c r="L43" i="14"/>
  <c r="K43" i="14"/>
  <c r="I43" i="14"/>
  <c r="H43" i="14"/>
  <c r="G43" i="14"/>
  <c r="F43" i="14"/>
  <c r="E43" i="14"/>
  <c r="D43" i="14"/>
  <c r="C43" i="14"/>
  <c r="B43" i="14"/>
  <c r="A43" i="14"/>
  <c r="J43" i="14" s="1"/>
  <c r="O42" i="14"/>
  <c r="L42" i="14"/>
  <c r="J42" i="14"/>
  <c r="I42" i="14"/>
  <c r="G42" i="14"/>
  <c r="F42" i="14"/>
  <c r="E42" i="14"/>
  <c r="D42" i="14"/>
  <c r="C42" i="14"/>
  <c r="B42" i="14"/>
  <c r="A42" i="14"/>
  <c r="A41" i="14"/>
  <c r="Q40" i="14"/>
  <c r="J40" i="14"/>
  <c r="I40" i="14"/>
  <c r="D40" i="14"/>
  <c r="C40" i="14"/>
  <c r="B40" i="14"/>
  <c r="A40" i="14"/>
  <c r="A39" i="14"/>
  <c r="N38" i="14"/>
  <c r="M38" i="14"/>
  <c r="L38" i="14"/>
  <c r="K38" i="14"/>
  <c r="J38" i="14"/>
  <c r="I38" i="14"/>
  <c r="H38" i="14"/>
  <c r="G38" i="14"/>
  <c r="F38" i="14"/>
  <c r="E38" i="14"/>
  <c r="D38" i="14"/>
  <c r="A38" i="14"/>
  <c r="O38" i="14" s="1"/>
  <c r="N37" i="14"/>
  <c r="M37" i="14"/>
  <c r="L37" i="14"/>
  <c r="K37" i="14"/>
  <c r="J37" i="14"/>
  <c r="I37" i="14"/>
  <c r="H37" i="14"/>
  <c r="G37" i="14"/>
  <c r="F37" i="14"/>
  <c r="E37" i="14"/>
  <c r="D37" i="14"/>
  <c r="C37" i="14"/>
  <c r="B37" i="14"/>
  <c r="A37" i="14"/>
  <c r="P37" i="14" s="1"/>
  <c r="P36" i="14"/>
  <c r="O36" i="14"/>
  <c r="N36" i="14"/>
  <c r="M36" i="14"/>
  <c r="L36" i="14"/>
  <c r="K36" i="14"/>
  <c r="J36" i="14"/>
  <c r="I36" i="14"/>
  <c r="H36" i="14"/>
  <c r="G36" i="14"/>
  <c r="F36" i="14"/>
  <c r="E36" i="14"/>
  <c r="D36" i="14"/>
  <c r="C36" i="14"/>
  <c r="B36" i="14"/>
  <c r="A36" i="14"/>
  <c r="Q36" i="14" s="1"/>
  <c r="I35" i="14"/>
  <c r="H35" i="14"/>
  <c r="G35" i="14"/>
  <c r="F35" i="14"/>
  <c r="E35" i="14"/>
  <c r="A35" i="14"/>
  <c r="O34" i="14"/>
  <c r="K34" i="14"/>
  <c r="J34" i="14"/>
  <c r="I34" i="14"/>
  <c r="H34" i="14"/>
  <c r="G34" i="14"/>
  <c r="F34" i="14"/>
  <c r="E34" i="14"/>
  <c r="D34" i="14"/>
  <c r="B34" i="14"/>
  <c r="A34" i="14"/>
  <c r="C34" i="14" s="1"/>
  <c r="A33" i="14"/>
  <c r="N33" i="14" s="1"/>
  <c r="A32" i="14"/>
  <c r="K32" i="14" s="1"/>
  <c r="O31" i="14"/>
  <c r="N31" i="14"/>
  <c r="M31" i="14"/>
  <c r="I31" i="14"/>
  <c r="D31" i="14"/>
  <c r="C31" i="14"/>
  <c r="B31" i="14"/>
  <c r="A31" i="14"/>
  <c r="J31" i="14" s="1"/>
  <c r="A30" i="14"/>
  <c r="M30" i="14" s="1"/>
  <c r="A29" i="14"/>
  <c r="E29" i="14" s="1"/>
  <c r="A28" i="14"/>
  <c r="A27" i="14"/>
  <c r="O27" i="14" s="1"/>
  <c r="A26" i="14"/>
  <c r="B26" i="14" s="1"/>
  <c r="Q25" i="14"/>
  <c r="P25" i="14"/>
  <c r="O25" i="14"/>
  <c r="N25" i="14"/>
  <c r="M25" i="14"/>
  <c r="L25" i="14"/>
  <c r="K25" i="14"/>
  <c r="J25" i="14"/>
  <c r="I25" i="14"/>
  <c r="A25" i="14"/>
  <c r="B25" i="14" s="1"/>
  <c r="A24" i="14"/>
  <c r="P23" i="14"/>
  <c r="K23" i="14"/>
  <c r="G23" i="14"/>
  <c r="F23" i="14"/>
  <c r="E23" i="14"/>
  <c r="D23" i="14"/>
  <c r="C23" i="14"/>
  <c r="B23" i="14"/>
  <c r="A23" i="14"/>
  <c r="A22" i="14"/>
  <c r="C22" i="14" s="1"/>
  <c r="Q21" i="14"/>
  <c r="F21" i="14"/>
  <c r="E21" i="14"/>
  <c r="A21" i="14"/>
  <c r="A20" i="14"/>
  <c r="P20" i="14" s="1"/>
  <c r="O19" i="14"/>
  <c r="K19" i="14"/>
  <c r="J19" i="14"/>
  <c r="A19" i="14"/>
  <c r="Q18" i="14"/>
  <c r="P18" i="14"/>
  <c r="L18" i="14"/>
  <c r="K18" i="14"/>
  <c r="J18" i="14"/>
  <c r="I18" i="14"/>
  <c r="H18" i="14"/>
  <c r="B18" i="14"/>
  <c r="A18" i="14"/>
  <c r="J17" i="14"/>
  <c r="I17" i="14"/>
  <c r="H17" i="14"/>
  <c r="G17" i="14"/>
  <c r="F17" i="14"/>
  <c r="A17" i="14"/>
  <c r="N16" i="14"/>
  <c r="K16" i="14"/>
  <c r="J16" i="14"/>
  <c r="E16" i="14"/>
  <c r="D16" i="14"/>
  <c r="A16" i="14"/>
  <c r="D15" i="14"/>
  <c r="C15" i="14"/>
  <c r="A15" i="14"/>
  <c r="P14" i="14"/>
  <c r="O14" i="14"/>
  <c r="N14" i="14"/>
  <c r="A14" i="14"/>
  <c r="A13" i="14"/>
  <c r="J13" i="14" s="1"/>
  <c r="J12" i="14"/>
  <c r="I12" i="14"/>
  <c r="H12" i="14"/>
  <c r="A12" i="14"/>
  <c r="G11" i="14"/>
  <c r="A11" i="14"/>
  <c r="C11" i="14" s="1"/>
  <c r="A10" i="14"/>
  <c r="Q10" i="14" s="1"/>
  <c r="A9" i="14"/>
  <c r="N9" i="14" s="1"/>
  <c r="Q8" i="14"/>
  <c r="P8" i="14"/>
  <c r="O8" i="14"/>
  <c r="N8" i="14"/>
  <c r="M8" i="14"/>
  <c r="L8" i="14"/>
  <c r="K8" i="14"/>
  <c r="A8" i="14"/>
  <c r="J8" i="14" s="1"/>
  <c r="A7" i="14"/>
  <c r="Q7" i="14" s="1"/>
  <c r="D105" i="13"/>
  <c r="D104" i="13"/>
  <c r="J103" i="13"/>
  <c r="I103" i="13"/>
  <c r="H103" i="13"/>
  <c r="G103" i="13"/>
  <c r="F103" i="13"/>
  <c r="E103" i="13"/>
  <c r="D103" i="13"/>
  <c r="D102" i="13"/>
  <c r="E102" i="13" s="1"/>
  <c r="J101" i="13"/>
  <c r="I101" i="13"/>
  <c r="D101" i="13"/>
  <c r="H101" i="13" s="1"/>
  <c r="G100" i="13"/>
  <c r="D100" i="13"/>
  <c r="D99" i="13"/>
  <c r="G99" i="13" s="1"/>
  <c r="D98" i="13"/>
  <c r="E98" i="13" s="1"/>
  <c r="J97" i="13"/>
  <c r="D97" i="13"/>
  <c r="I97" i="13" s="1"/>
  <c r="J96" i="13"/>
  <c r="I96" i="13"/>
  <c r="H96" i="13"/>
  <c r="G96" i="13"/>
  <c r="F96" i="13"/>
  <c r="E96" i="13"/>
  <c r="D96" i="13"/>
  <c r="J95" i="13"/>
  <c r="I95" i="13"/>
  <c r="H95" i="13"/>
  <c r="G95" i="13"/>
  <c r="D95" i="13"/>
  <c r="F95" i="13" s="1"/>
  <c r="J94" i="13"/>
  <c r="I94" i="13"/>
  <c r="H94" i="13"/>
  <c r="G94" i="13"/>
  <c r="F94" i="13"/>
  <c r="E94" i="13"/>
  <c r="D94" i="13"/>
  <c r="G93" i="13"/>
  <c r="F93" i="13"/>
  <c r="D93" i="13"/>
  <c r="E92" i="13"/>
  <c r="D92" i="13"/>
  <c r="J92" i="13" s="1"/>
  <c r="D91" i="13"/>
  <c r="J90" i="13"/>
  <c r="I90" i="13"/>
  <c r="H90" i="13"/>
  <c r="G90" i="13"/>
  <c r="F90" i="13"/>
  <c r="E90" i="13"/>
  <c r="D90" i="13"/>
  <c r="D89" i="13"/>
  <c r="D88" i="13"/>
  <c r="J88" i="13" s="1"/>
  <c r="J87" i="13"/>
  <c r="I87" i="13"/>
  <c r="H87" i="13"/>
  <c r="G87" i="13"/>
  <c r="F87" i="13"/>
  <c r="E87" i="13"/>
  <c r="D87" i="13"/>
  <c r="D86" i="13"/>
  <c r="J85" i="13"/>
  <c r="I85" i="13"/>
  <c r="H85" i="13"/>
  <c r="G85" i="13"/>
  <c r="F85" i="13"/>
  <c r="E85" i="13"/>
  <c r="D85" i="13"/>
  <c r="D84" i="13"/>
  <c r="D83" i="13"/>
  <c r="J83" i="13" s="1"/>
  <c r="J82" i="13"/>
  <c r="I82" i="13"/>
  <c r="H82" i="13"/>
  <c r="E82" i="13"/>
  <c r="D82" i="13"/>
  <c r="D81" i="13"/>
  <c r="J80" i="13"/>
  <c r="I80" i="13"/>
  <c r="H80" i="13"/>
  <c r="G80" i="13"/>
  <c r="F80" i="13"/>
  <c r="E80" i="13"/>
  <c r="D80" i="13"/>
  <c r="E79" i="13"/>
  <c r="D79" i="13"/>
  <c r="J79" i="13" s="1"/>
  <c r="D78" i="13"/>
  <c r="J78" i="13" s="1"/>
  <c r="H77" i="13"/>
  <c r="G77" i="13"/>
  <c r="F77" i="13"/>
  <c r="E77" i="13"/>
  <c r="D77" i="13"/>
  <c r="D76" i="13"/>
  <c r="H76" i="13" s="1"/>
  <c r="D75" i="13"/>
  <c r="J75" i="13" s="1"/>
  <c r="D74" i="13"/>
  <c r="I73" i="13"/>
  <c r="H73" i="13"/>
  <c r="G73" i="13"/>
  <c r="D73" i="13"/>
  <c r="J72" i="13"/>
  <c r="I72" i="13"/>
  <c r="H72" i="13"/>
  <c r="G72" i="13"/>
  <c r="F72" i="13"/>
  <c r="E72" i="13"/>
  <c r="D72" i="13"/>
  <c r="J71" i="13"/>
  <c r="I71" i="13"/>
  <c r="H71" i="13"/>
  <c r="G71" i="13"/>
  <c r="F71" i="13"/>
  <c r="E71" i="13"/>
  <c r="D71" i="13"/>
  <c r="I70" i="13"/>
  <c r="D70" i="13"/>
  <c r="J70" i="13" s="1"/>
  <c r="D69" i="13"/>
  <c r="D68" i="13"/>
  <c r="G68" i="13" s="1"/>
  <c r="J67" i="13"/>
  <c r="I67" i="13"/>
  <c r="H67" i="13"/>
  <c r="G67" i="13"/>
  <c r="F67" i="13"/>
  <c r="E67" i="13"/>
  <c r="D67" i="13"/>
  <c r="D66" i="13"/>
  <c r="D65" i="13"/>
  <c r="J65" i="13" s="1"/>
  <c r="J64" i="13"/>
  <c r="I64" i="13"/>
  <c r="H64" i="13"/>
  <c r="G64" i="13"/>
  <c r="F64" i="13"/>
  <c r="E64" i="13"/>
  <c r="D64" i="13"/>
  <c r="D63" i="13"/>
  <c r="J63" i="13" s="1"/>
  <c r="J62" i="13"/>
  <c r="I62" i="13"/>
  <c r="H62" i="13"/>
  <c r="G62" i="13"/>
  <c r="D62" i="13"/>
  <c r="F62" i="13" s="1"/>
  <c r="H61" i="13"/>
  <c r="F61" i="13"/>
  <c r="E61" i="13"/>
  <c r="D61" i="13"/>
  <c r="J60" i="13"/>
  <c r="I60" i="13"/>
  <c r="H60" i="13"/>
  <c r="G60" i="13"/>
  <c r="F60" i="13"/>
  <c r="E60" i="13"/>
  <c r="D60" i="13"/>
  <c r="E59" i="13"/>
  <c r="D59" i="13"/>
  <c r="G59" i="13" s="1"/>
  <c r="J58" i="13"/>
  <c r="I58" i="13"/>
  <c r="H58" i="13"/>
  <c r="G58" i="13"/>
  <c r="F58" i="13"/>
  <c r="E58" i="13"/>
  <c r="D58" i="13"/>
  <c r="J57" i="13"/>
  <c r="I57" i="13"/>
  <c r="H57" i="13"/>
  <c r="D57" i="13"/>
  <c r="E57" i="13" s="1"/>
  <c r="G56" i="13"/>
  <c r="F56" i="13"/>
  <c r="D56" i="13"/>
  <c r="J55" i="13"/>
  <c r="I55" i="13"/>
  <c r="H55" i="13"/>
  <c r="G55" i="13"/>
  <c r="F55" i="13"/>
  <c r="E55" i="13"/>
  <c r="D55" i="13"/>
  <c r="F54" i="13"/>
  <c r="D54" i="13"/>
  <c r="G53" i="13"/>
  <c r="F53" i="13"/>
  <c r="D53" i="13"/>
  <c r="H53" i="13" s="1"/>
  <c r="J52" i="13"/>
  <c r="D52" i="13"/>
  <c r="H52" i="13" s="1"/>
  <c r="J51" i="13"/>
  <c r="H51" i="13"/>
  <c r="G51" i="13"/>
  <c r="F51" i="13"/>
  <c r="E51" i="13"/>
  <c r="D51" i="13"/>
  <c r="I51" i="13" s="1"/>
  <c r="J50" i="13"/>
  <c r="I50" i="13"/>
  <c r="H50" i="13"/>
  <c r="G50" i="13"/>
  <c r="E50" i="13"/>
  <c r="D50" i="13"/>
  <c r="F50" i="13" s="1"/>
  <c r="D49" i="13"/>
  <c r="G49" i="13" s="1"/>
  <c r="J48" i="13"/>
  <c r="I48" i="13"/>
  <c r="H48" i="13"/>
  <c r="G48" i="13"/>
  <c r="F48" i="13"/>
  <c r="E48" i="13"/>
  <c r="D48" i="13"/>
  <c r="E47" i="13"/>
  <c r="D47" i="13"/>
  <c r="J47" i="13" s="1"/>
  <c r="D46" i="13"/>
  <c r="J46" i="13" s="1"/>
  <c r="J45" i="13"/>
  <c r="H45" i="13"/>
  <c r="G45" i="13"/>
  <c r="D45" i="13"/>
  <c r="I45" i="13" s="1"/>
  <c r="I44" i="13"/>
  <c r="D44" i="13"/>
  <c r="J43" i="13"/>
  <c r="I43" i="13"/>
  <c r="H43" i="13"/>
  <c r="F43" i="13"/>
  <c r="E43" i="13"/>
  <c r="D43" i="13"/>
  <c r="G43" i="13" s="1"/>
  <c r="D42" i="13"/>
  <c r="F42" i="13" s="1"/>
  <c r="J41" i="13"/>
  <c r="I41" i="13"/>
  <c r="H41" i="13"/>
  <c r="G41" i="13"/>
  <c r="F41" i="13"/>
  <c r="D41" i="13"/>
  <c r="E41" i="13" s="1"/>
  <c r="J40" i="13"/>
  <c r="I40" i="13"/>
  <c r="D40" i="13"/>
  <c r="H40" i="13" s="1"/>
  <c r="D39" i="13"/>
  <c r="I39" i="13" s="1"/>
  <c r="I38" i="13"/>
  <c r="H38" i="13"/>
  <c r="G38" i="13"/>
  <c r="F38" i="13"/>
  <c r="E38" i="13"/>
  <c r="D38" i="13"/>
  <c r="J38" i="13" s="1"/>
  <c r="D37" i="13"/>
  <c r="G36" i="13"/>
  <c r="F36" i="13"/>
  <c r="D36" i="13"/>
  <c r="H36" i="13" s="1"/>
  <c r="D35" i="13"/>
  <c r="I34" i="13"/>
  <c r="H34" i="13"/>
  <c r="G34" i="13"/>
  <c r="E34" i="13"/>
  <c r="D34" i="13"/>
  <c r="M33" i="13"/>
  <c r="L33" i="13"/>
  <c r="K33" i="13"/>
  <c r="J33" i="13"/>
  <c r="I33" i="13"/>
  <c r="H33" i="13"/>
  <c r="D33" i="13"/>
  <c r="G33" i="13" s="1"/>
  <c r="A33" i="13"/>
  <c r="H32" i="13"/>
  <c r="M32" i="13" s="1"/>
  <c r="F32" i="13"/>
  <c r="A32" i="13"/>
  <c r="E32" i="13" s="1"/>
  <c r="H31" i="13"/>
  <c r="G31" i="13"/>
  <c r="F31" i="13"/>
  <c r="E31" i="13"/>
  <c r="D31" i="13"/>
  <c r="C31" i="13"/>
  <c r="B31" i="13"/>
  <c r="A31" i="13"/>
  <c r="I30" i="13"/>
  <c r="H30" i="13"/>
  <c r="M30" i="13" s="1"/>
  <c r="F30" i="13"/>
  <c r="A30" i="13"/>
  <c r="E30" i="13" s="1"/>
  <c r="M29" i="13"/>
  <c r="L29" i="13"/>
  <c r="K29" i="13"/>
  <c r="J29" i="13"/>
  <c r="I29" i="13"/>
  <c r="H29" i="13"/>
  <c r="A29" i="13"/>
  <c r="M28" i="13"/>
  <c r="L28" i="13"/>
  <c r="H28" i="13"/>
  <c r="K28" i="13" s="1"/>
  <c r="G28" i="13"/>
  <c r="F28" i="13"/>
  <c r="E28" i="13"/>
  <c r="D28" i="13"/>
  <c r="C28" i="13"/>
  <c r="B28" i="13"/>
  <c r="A28" i="13"/>
  <c r="H27" i="13"/>
  <c r="M27" i="13" s="1"/>
  <c r="F27" i="13"/>
  <c r="E27" i="13"/>
  <c r="D27" i="13"/>
  <c r="G27" i="13" s="1"/>
  <c r="C27" i="13"/>
  <c r="B27" i="13"/>
  <c r="A27" i="13"/>
  <c r="J26" i="13"/>
  <c r="H26" i="13"/>
  <c r="A26" i="13"/>
  <c r="F26" i="13" s="1"/>
  <c r="M25" i="13"/>
  <c r="L25" i="13"/>
  <c r="K25" i="13"/>
  <c r="J25" i="13"/>
  <c r="I25" i="13"/>
  <c r="H25" i="13"/>
  <c r="A25" i="13"/>
  <c r="F25" i="13" s="1"/>
  <c r="M24" i="13"/>
  <c r="L24" i="13"/>
  <c r="K24" i="13"/>
  <c r="J24" i="13"/>
  <c r="I24" i="13"/>
  <c r="H24" i="13"/>
  <c r="A24" i="13"/>
  <c r="K23" i="13"/>
  <c r="J23" i="13"/>
  <c r="H23" i="13"/>
  <c r="M23" i="13" s="1"/>
  <c r="F23" i="13"/>
  <c r="E23" i="13"/>
  <c r="A23" i="13"/>
  <c r="B23" i="13" s="1"/>
  <c r="L22" i="13"/>
  <c r="J22" i="13"/>
  <c r="I22" i="13"/>
  <c r="H22" i="13"/>
  <c r="F22" i="13"/>
  <c r="E22" i="13"/>
  <c r="D22" i="13"/>
  <c r="G22" i="13" s="1"/>
  <c r="C22" i="13"/>
  <c r="B22" i="13"/>
  <c r="A22" i="13"/>
  <c r="H21" i="13"/>
  <c r="A21" i="13"/>
  <c r="E21" i="13" s="1"/>
  <c r="M20" i="13"/>
  <c r="L20" i="13"/>
  <c r="K20" i="13"/>
  <c r="J20" i="13"/>
  <c r="H20" i="13"/>
  <c r="I20" i="13" s="1"/>
  <c r="A20" i="13"/>
  <c r="H19" i="13"/>
  <c r="J19" i="13" s="1"/>
  <c r="A19" i="13"/>
  <c r="F19" i="13" s="1"/>
  <c r="H18" i="13"/>
  <c r="L18" i="13" s="1"/>
  <c r="G18" i="13"/>
  <c r="F18" i="13"/>
  <c r="E18" i="13"/>
  <c r="D18" i="13"/>
  <c r="B18" i="13"/>
  <c r="A18" i="13"/>
  <c r="C18" i="13" s="1"/>
  <c r="I17" i="13"/>
  <c r="H17" i="13"/>
  <c r="M17" i="13" s="1"/>
  <c r="F17" i="13"/>
  <c r="E17" i="13"/>
  <c r="A17" i="13"/>
  <c r="D17" i="13" s="1"/>
  <c r="G17" i="13" s="1"/>
  <c r="L16" i="13"/>
  <c r="K16" i="13"/>
  <c r="J16" i="13"/>
  <c r="I16" i="13"/>
  <c r="H16" i="13"/>
  <c r="M16" i="13" s="1"/>
  <c r="A16" i="13"/>
  <c r="E16" i="13" s="1"/>
  <c r="A15" i="13"/>
  <c r="H14" i="13" a="1"/>
  <c r="H15" i="13" s="1"/>
  <c r="H14" i="13"/>
  <c r="M14" i="13" s="1"/>
  <c r="A14" i="13" a="1"/>
  <c r="A14" i="13"/>
  <c r="F14" i="13" s="1"/>
  <c r="G13" i="13"/>
  <c r="G12" i="13"/>
  <c r="D11" i="13"/>
  <c r="J11" i="13" s="1"/>
  <c r="D10" i="13"/>
  <c r="D9" i="13"/>
  <c r="J9" i="13" s="1"/>
  <c r="B9" i="13"/>
  <c r="J8" i="13"/>
  <c r="I8" i="13"/>
  <c r="D8" i="13"/>
  <c r="H8" i="13" s="1"/>
  <c r="B8" i="13"/>
  <c r="D7" i="13"/>
  <c r="J7" i="13" s="1"/>
  <c r="B7" i="13"/>
  <c r="B6" i="13"/>
  <c r="B9" i="1"/>
  <c r="B8" i="1"/>
  <c r="B7" i="1"/>
  <c r="B6" i="1"/>
  <c r="B5" i="1"/>
  <c r="C33" i="14" l="1"/>
  <c r="K50" i="14"/>
  <c r="E52" i="14"/>
  <c r="B57" i="14"/>
  <c r="J59" i="14"/>
  <c r="Q59" i="14"/>
  <c r="N59" i="14"/>
  <c r="M59" i="14"/>
  <c r="H59" i="14"/>
  <c r="O59" i="14"/>
  <c r="I59" i="14"/>
  <c r="E59" i="14"/>
  <c r="G59" i="14"/>
  <c r="F59" i="14"/>
  <c r="C70" i="14"/>
  <c r="D7" i="15"/>
  <c r="Q26" i="15"/>
  <c r="H26" i="15"/>
  <c r="B29" i="15"/>
  <c r="C37" i="15"/>
  <c r="K43" i="15"/>
  <c r="C56" i="15"/>
  <c r="Q93" i="15"/>
  <c r="C93" i="15"/>
  <c r="B93" i="15"/>
  <c r="P93" i="15"/>
  <c r="O93" i="15"/>
  <c r="K93" i="15"/>
  <c r="N93" i="15"/>
  <c r="M93" i="15"/>
  <c r="J93" i="15"/>
  <c r="L93" i="15"/>
  <c r="I93" i="15"/>
  <c r="F7" i="14"/>
  <c r="Q15" i="14"/>
  <c r="L15" i="14"/>
  <c r="K15" i="14"/>
  <c r="H15" i="14"/>
  <c r="G15" i="14"/>
  <c r="F15" i="14"/>
  <c r="E15" i="14"/>
  <c r="F29" i="14"/>
  <c r="E33" i="14"/>
  <c r="E48" i="14"/>
  <c r="G48" i="14"/>
  <c r="F48" i="14"/>
  <c r="C48" i="14"/>
  <c r="B48" i="14"/>
  <c r="O48" i="14"/>
  <c r="N48" i="14"/>
  <c r="M48" i="14"/>
  <c r="L48" i="14"/>
  <c r="K48" i="14"/>
  <c r="L50" i="14"/>
  <c r="H52" i="14"/>
  <c r="C57" i="14"/>
  <c r="B59" i="14"/>
  <c r="E70" i="14"/>
  <c r="F7" i="15"/>
  <c r="Q23" i="15"/>
  <c r="O23" i="15"/>
  <c r="N23" i="15"/>
  <c r="E23" i="15"/>
  <c r="Q27" i="15"/>
  <c r="P27" i="15"/>
  <c r="K27" i="15"/>
  <c r="L27" i="15"/>
  <c r="J27" i="15"/>
  <c r="O27" i="15"/>
  <c r="M27" i="15"/>
  <c r="C29" i="15"/>
  <c r="E37" i="15"/>
  <c r="O43" i="15"/>
  <c r="H51" i="15"/>
  <c r="G51" i="15"/>
  <c r="B51" i="15"/>
  <c r="D56" i="15"/>
  <c r="K87" i="15"/>
  <c r="L87" i="15"/>
  <c r="D93" i="15"/>
  <c r="G7" i="14"/>
  <c r="G12" i="14"/>
  <c r="F12" i="14"/>
  <c r="B15" i="14"/>
  <c r="C17" i="14"/>
  <c r="Q17" i="14"/>
  <c r="M17" i="14"/>
  <c r="L17" i="14"/>
  <c r="P19" i="14"/>
  <c r="Q19" i="14"/>
  <c r="G29" i="14"/>
  <c r="F33" i="14"/>
  <c r="B35" i="14"/>
  <c r="D35" i="14"/>
  <c r="C35" i="14"/>
  <c r="O35" i="14"/>
  <c r="M35" i="14"/>
  <c r="N35" i="14"/>
  <c r="D48" i="14"/>
  <c r="K52" i="14"/>
  <c r="C59" i="14"/>
  <c r="B67" i="14"/>
  <c r="I67" i="14"/>
  <c r="H67" i="14"/>
  <c r="F67" i="14"/>
  <c r="E67" i="14"/>
  <c r="O67" i="14"/>
  <c r="L67" i="14"/>
  <c r="N67" i="14"/>
  <c r="M67" i="14"/>
  <c r="M95" i="14"/>
  <c r="L95" i="14"/>
  <c r="J95" i="14"/>
  <c r="H95" i="14"/>
  <c r="K95" i="14"/>
  <c r="B95" i="14"/>
  <c r="G7" i="15"/>
  <c r="F16" i="15"/>
  <c r="E16" i="15"/>
  <c r="C16" i="15"/>
  <c r="B16" i="15"/>
  <c r="Q16" i="15"/>
  <c r="P16" i="15"/>
  <c r="M16" i="15"/>
  <c r="N16" i="15"/>
  <c r="C23" i="15"/>
  <c r="B27" i="15"/>
  <c r="F29" i="15"/>
  <c r="G37" i="15"/>
  <c r="H44" i="15"/>
  <c r="L44" i="15"/>
  <c r="C51" i="15"/>
  <c r="F56" i="15"/>
  <c r="E93" i="15"/>
  <c r="D7" i="14"/>
  <c r="L52" i="14"/>
  <c r="K59" i="14"/>
  <c r="G93" i="15"/>
  <c r="L57" i="14"/>
  <c r="O57" i="14"/>
  <c r="N57" i="14"/>
  <c r="K57" i="14"/>
  <c r="J57" i="14"/>
  <c r="F57" i="14"/>
  <c r="Q57" i="14"/>
  <c r="M57" i="14"/>
  <c r="K7" i="14"/>
  <c r="G33" i="14"/>
  <c r="L41" i="14"/>
  <c r="Q41" i="14"/>
  <c r="O41" i="14"/>
  <c r="M41" i="14"/>
  <c r="K41" i="14"/>
  <c r="G41" i="14"/>
  <c r="N41" i="14"/>
  <c r="I41" i="14"/>
  <c r="J41" i="14"/>
  <c r="P7" i="14"/>
  <c r="H33" i="14"/>
  <c r="B41" i="14"/>
  <c r="M52" i="14"/>
  <c r="C24" i="14"/>
  <c r="B24" i="14"/>
  <c r="Q24" i="14"/>
  <c r="P24" i="14"/>
  <c r="O24" i="14"/>
  <c r="M33" i="14"/>
  <c r="N39" i="14"/>
  <c r="M39" i="14"/>
  <c r="L39" i="14"/>
  <c r="I39" i="14"/>
  <c r="H39" i="14"/>
  <c r="E39" i="14"/>
  <c r="D39" i="14"/>
  <c r="C39" i="14"/>
  <c r="B39" i="14"/>
  <c r="L59" i="14"/>
  <c r="P83" i="15"/>
  <c r="J15" i="14"/>
  <c r="O52" i="14"/>
  <c r="I57" i="14"/>
  <c r="N96" i="14"/>
  <c r="Q96" i="14"/>
  <c r="B17" i="15"/>
  <c r="Q14" i="14"/>
  <c r="L14" i="14"/>
  <c r="K14" i="14"/>
  <c r="H14" i="14"/>
  <c r="G14" i="14"/>
  <c r="F14" i="14"/>
  <c r="E14" i="14"/>
  <c r="I30" i="14"/>
  <c r="B96" i="14"/>
  <c r="F41" i="14"/>
  <c r="O15" i="14"/>
  <c r="D32" i="14"/>
  <c r="K35" i="14"/>
  <c r="K39" i="14"/>
  <c r="H41" i="14"/>
  <c r="J49" i="14"/>
  <c r="M71" i="14"/>
  <c r="E96" i="14"/>
  <c r="D61" i="15"/>
  <c r="N89" i="15"/>
  <c r="M89" i="15"/>
  <c r="K89" i="15"/>
  <c r="J89" i="15"/>
  <c r="F89" i="15"/>
  <c r="Q89" i="15"/>
  <c r="O89" i="15"/>
  <c r="L89" i="15"/>
  <c r="G89" i="15"/>
  <c r="I89" i="15"/>
  <c r="H89" i="15"/>
  <c r="B99" i="15"/>
  <c r="O7" i="14"/>
  <c r="N7" i="14"/>
  <c r="M7" i="14"/>
  <c r="L7" i="14"/>
  <c r="Q43" i="15"/>
  <c r="P43" i="15"/>
  <c r="M43" i="15"/>
  <c r="L43" i="15"/>
  <c r="Q56" i="15"/>
  <c r="M56" i="15"/>
  <c r="L56" i="15"/>
  <c r="J56" i="15"/>
  <c r="I56" i="15"/>
  <c r="E56" i="15"/>
  <c r="O56" i="15"/>
  <c r="G56" i="15"/>
  <c r="N56" i="15"/>
  <c r="H56" i="15"/>
  <c r="K56" i="15"/>
  <c r="B33" i="14"/>
  <c r="Q30" i="14"/>
  <c r="L30" i="14"/>
  <c r="K30" i="14"/>
  <c r="H30" i="14"/>
  <c r="G30" i="14"/>
  <c r="E30" i="14"/>
  <c r="F30" i="14"/>
  <c r="N55" i="14"/>
  <c r="L55" i="14"/>
  <c r="K55" i="14"/>
  <c r="I55" i="14"/>
  <c r="H55" i="14"/>
  <c r="D55" i="14"/>
  <c r="E55" i="14"/>
  <c r="C55" i="14"/>
  <c r="B55" i="14"/>
  <c r="H57" i="14"/>
  <c r="D24" i="14"/>
  <c r="D41" i="14"/>
  <c r="P23" i="15"/>
  <c r="E41" i="14"/>
  <c r="J55" i="14"/>
  <c r="H71" i="14"/>
  <c r="Q102" i="14"/>
  <c r="G102" i="14"/>
  <c r="O102" i="14"/>
  <c r="F102" i="14"/>
  <c r="E102" i="14"/>
  <c r="C102" i="14"/>
  <c r="D102" i="14"/>
  <c r="K17" i="14"/>
  <c r="O26" i="14"/>
  <c r="L26" i="14"/>
  <c r="N26" i="14"/>
  <c r="M26" i="14"/>
  <c r="C32" i="14"/>
  <c r="J35" i="14"/>
  <c r="I49" i="14"/>
  <c r="I71" i="14"/>
  <c r="D96" i="14"/>
  <c r="Q14" i="15"/>
  <c r="L14" i="15"/>
  <c r="K14" i="15"/>
  <c r="I14" i="15"/>
  <c r="H14" i="15"/>
  <c r="D14" i="15"/>
  <c r="P14" i="15"/>
  <c r="O14" i="15"/>
  <c r="J14" i="15"/>
  <c r="G14" i="15"/>
  <c r="E14" i="15"/>
  <c r="F14" i="15"/>
  <c r="D84" i="15"/>
  <c r="J24" i="14"/>
  <c r="D14" i="14"/>
  <c r="Q16" i="14"/>
  <c r="M16" i="14"/>
  <c r="L16" i="14"/>
  <c r="I16" i="14"/>
  <c r="H16" i="14"/>
  <c r="F16" i="14"/>
  <c r="G16" i="14"/>
  <c r="K24" i="14"/>
  <c r="K26" i="14"/>
  <c r="N30" i="14"/>
  <c r="F32" i="14"/>
  <c r="L35" i="14"/>
  <c r="O39" i="14"/>
  <c r="Q55" i="14"/>
  <c r="O96" i="14"/>
  <c r="I102" i="14"/>
  <c r="C14" i="15"/>
  <c r="C71" i="15"/>
  <c r="I73" i="15"/>
  <c r="H73" i="15"/>
  <c r="F73" i="15"/>
  <c r="D73" i="15"/>
  <c r="N73" i="15"/>
  <c r="O73" i="15"/>
  <c r="B89" i="15"/>
  <c r="Q52" i="14"/>
  <c r="J52" i="14"/>
  <c r="I52" i="14"/>
  <c r="G52" i="14"/>
  <c r="F52" i="14"/>
  <c r="B52" i="14"/>
  <c r="D52" i="14"/>
  <c r="C52" i="14"/>
  <c r="L29" i="15"/>
  <c r="H29" i="15"/>
  <c r="G29" i="15"/>
  <c r="E29" i="15"/>
  <c r="D29" i="15"/>
  <c r="N29" i="15"/>
  <c r="M29" i="15"/>
  <c r="J29" i="15"/>
  <c r="K29" i="15"/>
  <c r="I29" i="15"/>
  <c r="Q37" i="15"/>
  <c r="N37" i="15"/>
  <c r="F37" i="15"/>
  <c r="E7" i="14"/>
  <c r="B30" i="14"/>
  <c r="G57" i="14"/>
  <c r="P71" i="14"/>
  <c r="O71" i="14"/>
  <c r="L71" i="14"/>
  <c r="K71" i="14"/>
  <c r="F71" i="14"/>
  <c r="E71" i="14"/>
  <c r="D71" i="14"/>
  <c r="O88" i="14"/>
  <c r="N88" i="14"/>
  <c r="J88" i="14"/>
  <c r="H88" i="14"/>
  <c r="D88" i="14"/>
  <c r="Q88" i="14"/>
  <c r="G88" i="14"/>
  <c r="F88" i="14"/>
  <c r="E88" i="14"/>
  <c r="C88" i="14"/>
  <c r="B101" i="14"/>
  <c r="N52" i="14"/>
  <c r="B71" i="14"/>
  <c r="D30" i="14"/>
  <c r="Q48" i="14"/>
  <c r="G55" i="14"/>
  <c r="L88" i="14"/>
  <c r="M15" i="14"/>
  <c r="D49" i="14"/>
  <c r="H49" i="14"/>
  <c r="G49" i="14"/>
  <c r="E49" i="14"/>
  <c r="C49" i="14"/>
  <c r="Q49" i="14"/>
  <c r="F49" i="14"/>
  <c r="B49" i="14"/>
  <c r="B14" i="14"/>
  <c r="F24" i="14"/>
  <c r="J39" i="14"/>
  <c r="M55" i="14"/>
  <c r="Q67" i="14"/>
  <c r="L61" i="15"/>
  <c r="C61" i="15"/>
  <c r="B61" i="15"/>
  <c r="P61" i="15"/>
  <c r="K61" i="15"/>
  <c r="N61" i="15"/>
  <c r="H61" i="15"/>
  <c r="M61" i="15"/>
  <c r="J61" i="15"/>
  <c r="I61" i="15"/>
  <c r="P99" i="15"/>
  <c r="O99" i="15"/>
  <c r="D99" i="15"/>
  <c r="I14" i="14"/>
  <c r="B16" i="14"/>
  <c r="L24" i="14"/>
  <c r="P26" i="14"/>
  <c r="O30" i="14"/>
  <c r="Q39" i="14"/>
  <c r="L49" i="14"/>
  <c r="M56" i="14"/>
  <c r="N56" i="14"/>
  <c r="L56" i="14"/>
  <c r="J56" i="14"/>
  <c r="I56" i="14"/>
  <c r="E56" i="14"/>
  <c r="Q56" i="14"/>
  <c r="O56" i="14"/>
  <c r="G56" i="14"/>
  <c r="F56" i="14"/>
  <c r="C56" i="14"/>
  <c r="D56" i="14"/>
  <c r="Q72" i="14"/>
  <c r="L72" i="14"/>
  <c r="N72" i="14"/>
  <c r="J72" i="14"/>
  <c r="H72" i="14"/>
  <c r="G72" i="14"/>
  <c r="M14" i="15"/>
  <c r="Q40" i="15"/>
  <c r="C40" i="15"/>
  <c r="B40" i="15"/>
  <c r="P40" i="15"/>
  <c r="O40" i="15"/>
  <c r="K40" i="15"/>
  <c r="L40" i="15"/>
  <c r="H40" i="15"/>
  <c r="G40" i="15"/>
  <c r="J40" i="15"/>
  <c r="I40" i="15"/>
  <c r="Q46" i="15"/>
  <c r="G46" i="15"/>
  <c r="J46" i="15"/>
  <c r="I46" i="15"/>
  <c r="L46" i="15"/>
  <c r="F61" i="15"/>
  <c r="G73" i="15"/>
  <c r="O86" i="15"/>
  <c r="N86" i="15"/>
  <c r="J86" i="15"/>
  <c r="I86" i="15"/>
  <c r="B86" i="15"/>
  <c r="C89" i="15"/>
  <c r="E99" i="15"/>
  <c r="D33" i="14"/>
  <c r="O33" i="14"/>
  <c r="L33" i="14"/>
  <c r="K33" i="14"/>
  <c r="I33" i="14"/>
  <c r="J33" i="14"/>
  <c r="Q7" i="15"/>
  <c r="O7" i="15"/>
  <c r="N7" i="15"/>
  <c r="J7" i="15"/>
  <c r="P7" i="15"/>
  <c r="M7" i="15"/>
  <c r="K7" i="15"/>
  <c r="L7" i="15"/>
  <c r="C50" i="14"/>
  <c r="I50" i="14"/>
  <c r="H50" i="14"/>
  <c r="F50" i="14"/>
  <c r="E50" i="14"/>
  <c r="N50" i="14"/>
  <c r="M50" i="14"/>
  <c r="J50" i="14"/>
  <c r="B50" i="14"/>
  <c r="G50" i="14"/>
  <c r="D50" i="14"/>
  <c r="M70" i="14"/>
  <c r="L70" i="14"/>
  <c r="I70" i="14"/>
  <c r="H70" i="14"/>
  <c r="D70" i="14"/>
  <c r="Q70" i="14"/>
  <c r="J70" i="14"/>
  <c r="P70" i="14"/>
  <c r="N70" i="14"/>
  <c r="B7" i="15"/>
  <c r="Q50" i="14"/>
  <c r="E57" i="14"/>
  <c r="G70" i="14"/>
  <c r="G101" i="14"/>
  <c r="F101" i="14"/>
  <c r="D101" i="14"/>
  <c r="C101" i="14"/>
  <c r="O29" i="15"/>
  <c r="P56" i="15"/>
  <c r="J37" i="15"/>
  <c r="I15" i="14"/>
  <c r="C30" i="14"/>
  <c r="C41" i="14"/>
  <c r="F55" i="14"/>
  <c r="B88" i="14"/>
  <c r="E101" i="14"/>
  <c r="G17" i="15"/>
  <c r="P17" i="15"/>
  <c r="L17" i="15"/>
  <c r="H93" i="15"/>
  <c r="E32" i="14"/>
  <c r="N32" i="14"/>
  <c r="M32" i="14"/>
  <c r="J32" i="14"/>
  <c r="G32" i="14"/>
  <c r="I32" i="14"/>
  <c r="H32" i="14"/>
  <c r="F39" i="14"/>
  <c r="I27" i="15"/>
  <c r="K60" i="15"/>
  <c r="J60" i="15"/>
  <c r="E24" i="14"/>
  <c r="B32" i="14"/>
  <c r="G39" i="14"/>
  <c r="P88" i="14"/>
  <c r="N15" i="14"/>
  <c r="J30" i="14"/>
  <c r="B102" i="14"/>
  <c r="C14" i="14"/>
  <c r="O55" i="14"/>
  <c r="J14" i="14"/>
  <c r="C16" i="14"/>
  <c r="Q23" i="14"/>
  <c r="O23" i="14"/>
  <c r="N23" i="14"/>
  <c r="M23" i="14"/>
  <c r="L23" i="14"/>
  <c r="M24" i="14"/>
  <c r="Q26" i="14"/>
  <c r="P30" i="14"/>
  <c r="L32" i="14"/>
  <c r="M40" i="14"/>
  <c r="O40" i="14"/>
  <c r="N40" i="14"/>
  <c r="L40" i="14"/>
  <c r="K40" i="14"/>
  <c r="H40" i="14"/>
  <c r="E40" i="14"/>
  <c r="G40" i="14"/>
  <c r="F40" i="14"/>
  <c r="M49" i="14"/>
  <c r="B56" i="14"/>
  <c r="E72" i="14"/>
  <c r="Q104" i="14"/>
  <c r="B104" i="14"/>
  <c r="D11" i="15"/>
  <c r="G11" i="15"/>
  <c r="F11" i="15"/>
  <c r="C11" i="15"/>
  <c r="B11" i="15"/>
  <c r="O11" i="15"/>
  <c r="M11" i="15"/>
  <c r="L11" i="15"/>
  <c r="K11" i="15"/>
  <c r="J11" i="15"/>
  <c r="N14" i="15"/>
  <c r="M21" i="15"/>
  <c r="L21" i="15"/>
  <c r="J21" i="15"/>
  <c r="H21" i="15"/>
  <c r="C21" i="15"/>
  <c r="Q21" i="15"/>
  <c r="P21" i="15"/>
  <c r="K21" i="15"/>
  <c r="G21" i="15"/>
  <c r="E21" i="15"/>
  <c r="F21" i="15"/>
  <c r="D40" i="15"/>
  <c r="C46" i="15"/>
  <c r="G61" i="15"/>
  <c r="J73" i="15"/>
  <c r="D86" i="15"/>
  <c r="D89" i="15"/>
  <c r="M99" i="15"/>
  <c r="G71" i="14"/>
  <c r="M14" i="14"/>
  <c r="N24" i="14"/>
  <c r="Q31" i="14"/>
  <c r="L31" i="14"/>
  <c r="K31" i="14"/>
  <c r="H31" i="14"/>
  <c r="G31" i="14"/>
  <c r="F31" i="14"/>
  <c r="E31" i="14"/>
  <c r="O32" i="14"/>
  <c r="N49" i="14"/>
  <c r="O54" i="14"/>
  <c r="K54" i="14"/>
  <c r="J54" i="14"/>
  <c r="H54" i="14"/>
  <c r="G54" i="14"/>
  <c r="C54" i="14"/>
  <c r="Q54" i="14"/>
  <c r="L54" i="14"/>
  <c r="N54" i="14"/>
  <c r="M54" i="14"/>
  <c r="C36" i="15"/>
  <c r="B36" i="15"/>
  <c r="O61" i="15"/>
  <c r="N99" i="15"/>
  <c r="Q104" i="15"/>
  <c r="P104" i="15"/>
  <c r="O104" i="15"/>
  <c r="M104" i="15"/>
  <c r="L104" i="15"/>
  <c r="H104" i="15"/>
  <c r="N104" i="15"/>
  <c r="J104" i="15"/>
  <c r="K104" i="15"/>
  <c r="I104" i="15"/>
  <c r="G104" i="15"/>
  <c r="E104" i="15"/>
  <c r="B104" i="15"/>
  <c r="D104" i="15"/>
  <c r="C104" i="15"/>
  <c r="D38" i="15"/>
  <c r="B38" i="15"/>
  <c r="Q38" i="15"/>
  <c r="M38" i="15"/>
  <c r="N55" i="15"/>
  <c r="M55" i="15"/>
  <c r="K55" i="15"/>
  <c r="J55" i="15"/>
  <c r="E55" i="15"/>
  <c r="B85" i="15"/>
  <c r="L34" i="14"/>
  <c r="L83" i="14"/>
  <c r="K83" i="14"/>
  <c r="E83" i="14"/>
  <c r="D83" i="14"/>
  <c r="B94" i="14"/>
  <c r="D97" i="14"/>
  <c r="C97" i="14"/>
  <c r="F38" i="15"/>
  <c r="L45" i="15"/>
  <c r="M45" i="15"/>
  <c r="K45" i="15"/>
  <c r="I45" i="15"/>
  <c r="H45" i="15"/>
  <c r="D45" i="15"/>
  <c r="C55" i="15"/>
  <c r="D67" i="15"/>
  <c r="P74" i="15"/>
  <c r="N74" i="15"/>
  <c r="L74" i="15"/>
  <c r="K74" i="15"/>
  <c r="F74" i="15"/>
  <c r="F85" i="15"/>
  <c r="Q88" i="15"/>
  <c r="M88" i="15"/>
  <c r="L88" i="15"/>
  <c r="J88" i="15"/>
  <c r="I88" i="15"/>
  <c r="D88" i="15"/>
  <c r="P33" i="15"/>
  <c r="O33" i="15"/>
  <c r="G33" i="15"/>
  <c r="L48" i="15"/>
  <c r="J48" i="15"/>
  <c r="F48" i="15"/>
  <c r="E48" i="15"/>
  <c r="P53" i="14"/>
  <c r="J53" i="14"/>
  <c r="I53" i="14"/>
  <c r="G53" i="14"/>
  <c r="F53" i="14"/>
  <c r="B53" i="14"/>
  <c r="C66" i="14"/>
  <c r="H66" i="14"/>
  <c r="G66" i="14"/>
  <c r="E66" i="14"/>
  <c r="D66" i="14"/>
  <c r="Q66" i="14"/>
  <c r="B33" i="15"/>
  <c r="E38" i="15"/>
  <c r="H42" i="15"/>
  <c r="G42" i="15"/>
  <c r="C42" i="15"/>
  <c r="B42" i="15"/>
  <c r="Q42" i="15"/>
  <c r="B67" i="15"/>
  <c r="B11" i="14"/>
  <c r="M34" i="14"/>
  <c r="B38" i="14"/>
  <c r="D53" i="14"/>
  <c r="K58" i="14"/>
  <c r="Q58" i="14"/>
  <c r="O58" i="14"/>
  <c r="M58" i="14"/>
  <c r="L58" i="14"/>
  <c r="G58" i="14"/>
  <c r="G62" i="14"/>
  <c r="C62" i="14"/>
  <c r="B62" i="14"/>
  <c r="Q62" i="14"/>
  <c r="L62" i="14"/>
  <c r="F66" i="14"/>
  <c r="C83" i="14"/>
  <c r="M94" i="14"/>
  <c r="E97" i="14"/>
  <c r="D33" i="15"/>
  <c r="Q35" i="15"/>
  <c r="O35" i="15"/>
  <c r="L35" i="15"/>
  <c r="J35" i="15"/>
  <c r="G38" i="15"/>
  <c r="I42" i="15"/>
  <c r="B45" i="15"/>
  <c r="M48" i="15"/>
  <c r="D55" i="15"/>
  <c r="K63" i="15"/>
  <c r="H74" i="15"/>
  <c r="D78" i="15"/>
  <c r="B88" i="15"/>
  <c r="L67" i="15"/>
  <c r="I67" i="15"/>
  <c r="G67" i="15"/>
  <c r="E67" i="15"/>
  <c r="H85" i="15"/>
  <c r="G85" i="15"/>
  <c r="E85" i="15"/>
  <c r="C85" i="15"/>
  <c r="C48" i="15"/>
  <c r="N34" i="14"/>
  <c r="C38" i="14"/>
  <c r="K42" i="14"/>
  <c r="Q42" i="14"/>
  <c r="N42" i="14"/>
  <c r="M42" i="14"/>
  <c r="H42" i="14"/>
  <c r="E53" i="14"/>
  <c r="B58" i="14"/>
  <c r="D62" i="14"/>
  <c r="I66" i="14"/>
  <c r="F83" i="14"/>
  <c r="B85" i="14"/>
  <c r="N94" i="14"/>
  <c r="G28" i="15"/>
  <c r="D28" i="15"/>
  <c r="Q28" i="15"/>
  <c r="E33" i="15"/>
  <c r="G35" i="15"/>
  <c r="I38" i="15"/>
  <c r="J42" i="15"/>
  <c r="C45" i="15"/>
  <c r="O48" i="15"/>
  <c r="F55" i="15"/>
  <c r="M67" i="15"/>
  <c r="B70" i="15"/>
  <c r="I74" i="15"/>
  <c r="E78" i="15"/>
  <c r="O81" i="15"/>
  <c r="N81" i="15"/>
  <c r="K81" i="15"/>
  <c r="I81" i="15"/>
  <c r="K85" i="15"/>
  <c r="C88" i="15"/>
  <c r="M85" i="15"/>
  <c r="D94" i="15"/>
  <c r="C94" i="15"/>
  <c r="N94" i="15"/>
  <c r="K33" i="15"/>
  <c r="L38" i="15"/>
  <c r="F41" i="15"/>
  <c r="B41" i="15"/>
  <c r="N41" i="15"/>
  <c r="M42" i="15"/>
  <c r="L55" i="15"/>
  <c r="Q67" i="15"/>
  <c r="Q77" i="15"/>
  <c r="L77" i="15"/>
  <c r="K77" i="15"/>
  <c r="I77" i="15"/>
  <c r="H77" i="15"/>
  <c r="D77" i="15"/>
  <c r="E79" i="15"/>
  <c r="I79" i="15"/>
  <c r="P85" i="15"/>
  <c r="P91" i="15"/>
  <c r="M91" i="15"/>
  <c r="L91" i="15"/>
  <c r="H91" i="15"/>
  <c r="G94" i="15"/>
  <c r="P102" i="15"/>
  <c r="J102" i="15"/>
  <c r="E102" i="15"/>
  <c r="L53" i="14"/>
  <c r="D65" i="14"/>
  <c r="G65" i="14"/>
  <c r="F65" i="14"/>
  <c r="C65" i="14"/>
  <c r="B65" i="14"/>
  <c r="O65" i="14"/>
  <c r="L66" i="14"/>
  <c r="Q91" i="14"/>
  <c r="O91" i="14"/>
  <c r="N91" i="14"/>
  <c r="C91" i="14"/>
  <c r="M12" i="15"/>
  <c r="L12" i="15"/>
  <c r="J12" i="15"/>
  <c r="H12" i="15"/>
  <c r="K20" i="15"/>
  <c r="I20" i="15"/>
  <c r="G20" i="15"/>
  <c r="F20" i="15"/>
  <c r="H45" i="14"/>
  <c r="C45" i="14"/>
  <c r="B45" i="14"/>
  <c r="Q45" i="14"/>
  <c r="L45" i="14"/>
  <c r="M53" i="14"/>
  <c r="E65" i="14"/>
  <c r="M66" i="14"/>
  <c r="N78" i="14"/>
  <c r="M78" i="14"/>
  <c r="I78" i="14"/>
  <c r="Q84" i="14"/>
  <c r="M84" i="14"/>
  <c r="L84" i="14"/>
  <c r="J84" i="14"/>
  <c r="I84" i="14"/>
  <c r="E84" i="14"/>
  <c r="G87" i="14"/>
  <c r="F87" i="14"/>
  <c r="D87" i="14"/>
  <c r="C87" i="14"/>
  <c r="Q89" i="14"/>
  <c r="O89" i="14"/>
  <c r="N89" i="14"/>
  <c r="G89" i="14"/>
  <c r="B91" i="14"/>
  <c r="D12" i="15"/>
  <c r="C20" i="15"/>
  <c r="L33" i="15"/>
  <c r="N38" i="15"/>
  <c r="G41" i="15"/>
  <c r="N42" i="15"/>
  <c r="J45" i="15"/>
  <c r="O55" i="15"/>
  <c r="E58" i="15"/>
  <c r="Q68" i="15"/>
  <c r="K68" i="15"/>
  <c r="Q75" i="15"/>
  <c r="O75" i="15"/>
  <c r="M75" i="15"/>
  <c r="I75" i="15"/>
  <c r="B77" i="15"/>
  <c r="Q85" i="15"/>
  <c r="K88" i="15"/>
  <c r="E91" i="15"/>
  <c r="H94" i="15"/>
  <c r="B102" i="15"/>
  <c r="N79" i="14"/>
  <c r="N80" i="14"/>
  <c r="N82" i="14"/>
  <c r="P34" i="15"/>
  <c r="K92" i="15"/>
  <c r="N43" i="14"/>
  <c r="O44" i="14"/>
  <c r="F51" i="14"/>
  <c r="O61" i="14"/>
  <c r="E68" i="14"/>
  <c r="E69" i="14"/>
  <c r="N98" i="14"/>
  <c r="M24" i="15"/>
  <c r="O25" i="15"/>
  <c r="P92" i="15"/>
  <c r="O43" i="14"/>
  <c r="Q44" i="14"/>
  <c r="B47" i="14"/>
  <c r="G51" i="14"/>
  <c r="Q61" i="14"/>
  <c r="B64" i="14"/>
  <c r="F68" i="14"/>
  <c r="F69" i="14"/>
  <c r="H76" i="14"/>
  <c r="B80" i="14"/>
  <c r="B82" i="14"/>
  <c r="O98" i="14"/>
  <c r="N24" i="15"/>
  <c r="I54" i="15"/>
  <c r="B59" i="15"/>
  <c r="B72" i="15"/>
  <c r="C46" i="14"/>
  <c r="D47" i="14"/>
  <c r="I51" i="14"/>
  <c r="C63" i="14"/>
  <c r="D64" i="14"/>
  <c r="H68" i="14"/>
  <c r="H69" i="14"/>
  <c r="G73" i="14"/>
  <c r="K76" i="14"/>
  <c r="D80" i="14"/>
  <c r="E82" i="14"/>
  <c r="E9" i="15"/>
  <c r="P24" i="15"/>
  <c r="B44" i="14"/>
  <c r="D46" i="14"/>
  <c r="E47" i="14"/>
  <c r="J51" i="14"/>
  <c r="B61" i="14"/>
  <c r="D63" i="14"/>
  <c r="F64" i="14"/>
  <c r="I68" i="14"/>
  <c r="I69" i="14"/>
  <c r="P76" i="14"/>
  <c r="F80" i="14"/>
  <c r="F82" i="14"/>
  <c r="B98" i="14"/>
  <c r="C5" i="15"/>
  <c r="H5" i="15"/>
  <c r="F5" i="15"/>
  <c r="D5" i="15"/>
  <c r="B5" i="15"/>
  <c r="Q5" i="15"/>
  <c r="P5" i="15"/>
  <c r="O5" i="15"/>
  <c r="N5" i="15"/>
  <c r="M5" i="15"/>
  <c r="L5" i="15"/>
  <c r="K5" i="15"/>
  <c r="I5" i="15"/>
  <c r="E5" i="15"/>
  <c r="A5" i="14" a="1"/>
  <c r="A5" i="14" s="1"/>
  <c r="F5" i="14" s="1"/>
  <c r="J6" i="15"/>
  <c r="K6" i="15"/>
  <c r="L6" i="15"/>
  <c r="J15" i="13"/>
  <c r="I15" i="13"/>
  <c r="K15" i="13"/>
  <c r="M15" i="13"/>
  <c r="L15" i="13"/>
  <c r="E28" i="14"/>
  <c r="D28" i="14"/>
  <c r="C28" i="14"/>
  <c r="N28" i="14"/>
  <c r="M28" i="14"/>
  <c r="J28" i="14"/>
  <c r="L28" i="14"/>
  <c r="I28" i="14"/>
  <c r="K28" i="14"/>
  <c r="H28" i="14"/>
  <c r="D81" i="14"/>
  <c r="B81" i="14"/>
  <c r="P81" i="14"/>
  <c r="G81" i="14"/>
  <c r="F81" i="14"/>
  <c r="E81" i="14"/>
  <c r="C81" i="14"/>
  <c r="O81" i="14"/>
  <c r="N81" i="14"/>
  <c r="M81" i="14"/>
  <c r="J81" i="14"/>
  <c r="L81" i="14"/>
  <c r="K81" i="14"/>
  <c r="I81" i="14"/>
  <c r="B93" i="14"/>
  <c r="L103" i="14"/>
  <c r="I103" i="14"/>
  <c r="Q103" i="14"/>
  <c r="O103" i="14"/>
  <c r="N103" i="14"/>
  <c r="M103" i="14"/>
  <c r="F103" i="14"/>
  <c r="E103" i="14"/>
  <c r="D103" i="14"/>
  <c r="C103" i="14"/>
  <c r="D22" i="15"/>
  <c r="D29" i="13"/>
  <c r="G29" i="13" s="1"/>
  <c r="F29" i="13"/>
  <c r="C29" i="13"/>
  <c r="H81" i="14"/>
  <c r="B86" i="14"/>
  <c r="C93" i="14"/>
  <c r="B103" i="14"/>
  <c r="E78" i="13"/>
  <c r="B25" i="13"/>
  <c r="J49" i="15"/>
  <c r="E7" i="13"/>
  <c r="I10" i="13"/>
  <c r="H10" i="13"/>
  <c r="G10" i="13"/>
  <c r="F10" i="13"/>
  <c r="E10" i="13"/>
  <c r="L19" i="13"/>
  <c r="L21" i="13"/>
  <c r="M21" i="13"/>
  <c r="J21" i="13"/>
  <c r="K21" i="13"/>
  <c r="I21" i="13"/>
  <c r="C25" i="13"/>
  <c r="F33" i="13"/>
  <c r="E33" i="13"/>
  <c r="C33" i="13"/>
  <c r="E39" i="13"/>
  <c r="E46" i="13"/>
  <c r="E49" i="13"/>
  <c r="J56" i="13"/>
  <c r="H56" i="13"/>
  <c r="E65" i="13"/>
  <c r="E68" i="13"/>
  <c r="E75" i="13"/>
  <c r="G78" i="13"/>
  <c r="H88" i="13"/>
  <c r="J93" i="13"/>
  <c r="I93" i="13"/>
  <c r="F99" i="13"/>
  <c r="E13" i="14"/>
  <c r="B20" i="14"/>
  <c r="D22" i="14"/>
  <c r="Q28" i="14"/>
  <c r="B77" i="14"/>
  <c r="F86" i="14"/>
  <c r="L93" i="14"/>
  <c r="K103" i="14"/>
  <c r="C18" i="15"/>
  <c r="D39" i="15"/>
  <c r="K49" i="15"/>
  <c r="I64" i="15"/>
  <c r="N64" i="15"/>
  <c r="J64" i="15"/>
  <c r="F64" i="15"/>
  <c r="M64" i="15"/>
  <c r="L64" i="15"/>
  <c r="K64" i="15"/>
  <c r="H64" i="15"/>
  <c r="G64" i="15"/>
  <c r="E64" i="15"/>
  <c r="E84" i="15"/>
  <c r="J84" i="15"/>
  <c r="N84" i="15"/>
  <c r="K84" i="15"/>
  <c r="Q84" i="15"/>
  <c r="P84" i="15"/>
  <c r="O84" i="15"/>
  <c r="M84" i="15"/>
  <c r="L84" i="15"/>
  <c r="B87" i="15"/>
  <c r="G87" i="15"/>
  <c r="Q87" i="15"/>
  <c r="N87" i="15"/>
  <c r="M87" i="15"/>
  <c r="J87" i="15"/>
  <c r="I87" i="15"/>
  <c r="H87" i="15"/>
  <c r="F87" i="15"/>
  <c r="E87" i="15"/>
  <c r="D87" i="15"/>
  <c r="D95" i="15"/>
  <c r="F7" i="13"/>
  <c r="J10" i="13"/>
  <c r="M19" i="13"/>
  <c r="I23" i="13"/>
  <c r="D25" i="13"/>
  <c r="G25" i="13" s="1"/>
  <c r="K26" i="13"/>
  <c r="L26" i="13"/>
  <c r="M26" i="13"/>
  <c r="I26" i="13"/>
  <c r="B33" i="13"/>
  <c r="E36" i="13"/>
  <c r="F39" i="13"/>
  <c r="F46" i="13"/>
  <c r="E53" i="13"/>
  <c r="E56" i="13"/>
  <c r="F65" i="13"/>
  <c r="F68" i="13"/>
  <c r="F75" i="13"/>
  <c r="H78" i="13"/>
  <c r="I88" i="13"/>
  <c r="E93" i="13"/>
  <c r="F11" i="14"/>
  <c r="E11" i="14"/>
  <c r="D11" i="14"/>
  <c r="O11" i="14"/>
  <c r="N11" i="14"/>
  <c r="M11" i="14"/>
  <c r="K11" i="14"/>
  <c r="J11" i="14"/>
  <c r="L11" i="14"/>
  <c r="I11" i="14"/>
  <c r="F13" i="14"/>
  <c r="C20" i="14"/>
  <c r="E22" i="14"/>
  <c r="D29" i="14"/>
  <c r="C29" i="14"/>
  <c r="B29" i="14"/>
  <c r="P29" i="14"/>
  <c r="O29" i="14"/>
  <c r="N29" i="14"/>
  <c r="L29" i="14"/>
  <c r="K29" i="14"/>
  <c r="M29" i="14"/>
  <c r="J29" i="14"/>
  <c r="J75" i="14"/>
  <c r="H75" i="14"/>
  <c r="F75" i="14"/>
  <c r="M75" i="14"/>
  <c r="L75" i="14"/>
  <c r="K75" i="14"/>
  <c r="I75" i="14"/>
  <c r="Q75" i="14"/>
  <c r="P75" i="14"/>
  <c r="P103" i="14"/>
  <c r="D18" i="15"/>
  <c r="E36" i="15"/>
  <c r="J36" i="15"/>
  <c r="Q36" i="15"/>
  <c r="N36" i="15"/>
  <c r="L36" i="15"/>
  <c r="I36" i="15"/>
  <c r="H36" i="15"/>
  <c r="G36" i="15"/>
  <c r="P36" i="15"/>
  <c r="O36" i="15"/>
  <c r="M36" i="15"/>
  <c r="E39" i="15"/>
  <c r="B64" i="15"/>
  <c r="B71" i="15"/>
  <c r="G71" i="15"/>
  <c r="O71" i="15"/>
  <c r="Q71" i="15"/>
  <c r="P71" i="15"/>
  <c r="N71" i="15"/>
  <c r="M71" i="15"/>
  <c r="L71" i="15"/>
  <c r="H71" i="15"/>
  <c r="F71" i="15"/>
  <c r="E71" i="15"/>
  <c r="D71" i="15"/>
  <c r="K71" i="15"/>
  <c r="J71" i="15"/>
  <c r="B84" i="15"/>
  <c r="C87" i="15"/>
  <c r="G95" i="15"/>
  <c r="I91" i="13"/>
  <c r="H91" i="13"/>
  <c r="G91" i="13"/>
  <c r="E9" i="13"/>
  <c r="B26" i="13"/>
  <c r="G65" i="13"/>
  <c r="P57" i="15"/>
  <c r="E57" i="15"/>
  <c r="B57" i="15"/>
  <c r="Q57" i="15"/>
  <c r="K57" i="15"/>
  <c r="J57" i="15"/>
  <c r="I57" i="15"/>
  <c r="H57" i="15"/>
  <c r="G57" i="15"/>
  <c r="F57" i="15"/>
  <c r="O57" i="15"/>
  <c r="N57" i="15"/>
  <c r="O64" i="15"/>
  <c r="F84" i="15"/>
  <c r="O87" i="15"/>
  <c r="O90" i="15"/>
  <c r="D90" i="15"/>
  <c r="B90" i="15"/>
  <c r="Q90" i="15"/>
  <c r="P90" i="15"/>
  <c r="N90" i="15"/>
  <c r="M90" i="15"/>
  <c r="L90" i="15"/>
  <c r="K90" i="15"/>
  <c r="J90" i="15"/>
  <c r="I90" i="15"/>
  <c r="H90" i="15"/>
  <c r="G90" i="15"/>
  <c r="I53" i="13"/>
  <c r="G63" i="13"/>
  <c r="E76" i="13"/>
  <c r="E83" i="13"/>
  <c r="J104" i="13"/>
  <c r="I104" i="13"/>
  <c r="M9" i="14"/>
  <c r="H11" i="14"/>
  <c r="Q20" i="14"/>
  <c r="M27" i="14"/>
  <c r="H29" i="14"/>
  <c r="E75" i="14"/>
  <c r="E10" i="15"/>
  <c r="B10" i="15"/>
  <c r="H10" i="15"/>
  <c r="F10" i="15"/>
  <c r="D10" i="15"/>
  <c r="C10" i="15"/>
  <c r="Q10" i="15"/>
  <c r="P10" i="15"/>
  <c r="O10" i="15"/>
  <c r="M10" i="15"/>
  <c r="N10" i="15"/>
  <c r="L10" i="15"/>
  <c r="D13" i="15"/>
  <c r="C30" i="15"/>
  <c r="F36" i="15"/>
  <c r="C57" i="15"/>
  <c r="P64" i="15"/>
  <c r="G84" i="15"/>
  <c r="P87" i="15"/>
  <c r="C90" i="15"/>
  <c r="H98" i="13"/>
  <c r="G98" i="13"/>
  <c r="F98" i="13"/>
  <c r="G10" i="14"/>
  <c r="F10" i="14"/>
  <c r="E10" i="14"/>
  <c r="M10" i="14"/>
  <c r="L10" i="14"/>
  <c r="I10" i="14"/>
  <c r="H10" i="14"/>
  <c r="K10" i="14"/>
  <c r="J10" i="14"/>
  <c r="D10" i="14"/>
  <c r="F93" i="14"/>
  <c r="I93" i="14"/>
  <c r="G93" i="14"/>
  <c r="E93" i="14"/>
  <c r="D93" i="14"/>
  <c r="P93" i="14"/>
  <c r="O93" i="14"/>
  <c r="N93" i="14"/>
  <c r="M93" i="14"/>
  <c r="I27" i="13"/>
  <c r="B28" i="14"/>
  <c r="G82" i="15"/>
  <c r="L82" i="15"/>
  <c r="K82" i="15"/>
  <c r="H82" i="15"/>
  <c r="J82" i="15"/>
  <c r="I82" i="15"/>
  <c r="F82" i="15"/>
  <c r="E82" i="15"/>
  <c r="D82" i="15"/>
  <c r="C82" i="15"/>
  <c r="N82" i="15"/>
  <c r="Q82" i="15"/>
  <c r="P82" i="15"/>
  <c r="O82" i="15"/>
  <c r="M82" i="15"/>
  <c r="F9" i="13"/>
  <c r="J27" i="13"/>
  <c r="I98" i="13"/>
  <c r="F16" i="13"/>
  <c r="D16" i="13"/>
  <c r="G16" i="13" s="1"/>
  <c r="J32" i="13"/>
  <c r="I74" i="13"/>
  <c r="H74" i="13"/>
  <c r="G74" i="13"/>
  <c r="F74" i="13"/>
  <c r="E74" i="13"/>
  <c r="J91" i="13"/>
  <c r="H49" i="15"/>
  <c r="M49" i="15"/>
  <c r="L49" i="15"/>
  <c r="I49" i="15"/>
  <c r="G49" i="15"/>
  <c r="F49" i="15"/>
  <c r="E49" i="15"/>
  <c r="D49" i="15"/>
  <c r="C49" i="15"/>
  <c r="Q49" i="15"/>
  <c r="E29" i="13"/>
  <c r="I35" i="13"/>
  <c r="H35" i="13"/>
  <c r="G35" i="13"/>
  <c r="F35" i="13"/>
  <c r="E35" i="13"/>
  <c r="K74" i="14"/>
  <c r="I74" i="14"/>
  <c r="G74" i="14"/>
  <c r="J74" i="14"/>
  <c r="H74" i="14"/>
  <c r="F74" i="14"/>
  <c r="E74" i="14"/>
  <c r="P74" i="14"/>
  <c r="O74" i="14"/>
  <c r="N74" i="14"/>
  <c r="L74" i="14"/>
  <c r="D74" i="14"/>
  <c r="M74" i="14"/>
  <c r="C74" i="14"/>
  <c r="J93" i="14"/>
  <c r="I9" i="13"/>
  <c r="F21" i="13"/>
  <c r="L32" i="13"/>
  <c r="G88" i="13"/>
  <c r="D13" i="14"/>
  <c r="C13" i="14"/>
  <c r="B13" i="14"/>
  <c r="P13" i="14"/>
  <c r="Q13" i="14"/>
  <c r="O13" i="14"/>
  <c r="N13" i="14"/>
  <c r="M13" i="14"/>
  <c r="B39" i="15"/>
  <c r="G39" i="15"/>
  <c r="C39" i="15"/>
  <c r="Q39" i="15"/>
  <c r="P39" i="15"/>
  <c r="O39" i="15"/>
  <c r="L39" i="15"/>
  <c r="K39" i="15"/>
  <c r="J39" i="15"/>
  <c r="I39" i="15"/>
  <c r="I14" i="13"/>
  <c r="G46" i="13"/>
  <c r="I78" i="13"/>
  <c r="J86" i="13"/>
  <c r="H86" i="13"/>
  <c r="I86" i="13"/>
  <c r="G86" i="13"/>
  <c r="D20" i="14"/>
  <c r="F22" i="14"/>
  <c r="F39" i="15"/>
  <c r="H95" i="15"/>
  <c r="I69" i="13"/>
  <c r="H69" i="13"/>
  <c r="E69" i="13"/>
  <c r="G69" i="13"/>
  <c r="F69" i="13"/>
  <c r="E86" i="13"/>
  <c r="C9" i="14"/>
  <c r="H13" i="14"/>
  <c r="O20" i="14"/>
  <c r="G22" i="14"/>
  <c r="F11" i="13"/>
  <c r="L23" i="13"/>
  <c r="J31" i="13"/>
  <c r="L31" i="13"/>
  <c r="J39" i="13"/>
  <c r="I46" i="13"/>
  <c r="I56" i="13"/>
  <c r="J69" i="13"/>
  <c r="L9" i="14"/>
  <c r="I6" i="15"/>
  <c r="F6" i="15"/>
  <c r="B6" i="15"/>
  <c r="Q6" i="15"/>
  <c r="P6" i="15"/>
  <c r="O6" i="15"/>
  <c r="N6" i="15"/>
  <c r="M6" i="15"/>
  <c r="C13" i="15"/>
  <c r="H11" i="13"/>
  <c r="F15" i="13"/>
  <c r="E15" i="13"/>
  <c r="B15" i="13"/>
  <c r="D15" i="13"/>
  <c r="G15" i="13" s="1"/>
  <c r="C15" i="13"/>
  <c r="I18" i="13"/>
  <c r="E24" i="13"/>
  <c r="F24" i="13"/>
  <c r="D24" i="13"/>
  <c r="G24" i="13" s="1"/>
  <c r="B24" i="13"/>
  <c r="B30" i="13"/>
  <c r="K31" i="13"/>
  <c r="H37" i="13"/>
  <c r="J37" i="13"/>
  <c r="I37" i="13"/>
  <c r="F37" i="13"/>
  <c r="J44" i="13"/>
  <c r="H44" i="13"/>
  <c r="J53" i="13"/>
  <c r="H63" i="13"/>
  <c r="F66" i="13"/>
  <c r="J66" i="13"/>
  <c r="I66" i="13"/>
  <c r="H66" i="13"/>
  <c r="E66" i="13"/>
  <c r="E70" i="13"/>
  <c r="F76" i="13"/>
  <c r="F83" i="13"/>
  <c r="E101" i="13"/>
  <c r="E104" i="13"/>
  <c r="P11" i="14"/>
  <c r="K13" i="14"/>
  <c r="L21" i="14"/>
  <c r="K21" i="14"/>
  <c r="J21" i="14"/>
  <c r="P21" i="14"/>
  <c r="O21" i="14"/>
  <c r="N21" i="14"/>
  <c r="I21" i="14"/>
  <c r="M21" i="14"/>
  <c r="H21" i="14"/>
  <c r="G21" i="14"/>
  <c r="N27" i="14"/>
  <c r="I29" i="14"/>
  <c r="G75" i="14"/>
  <c r="D6" i="15"/>
  <c r="G10" i="15"/>
  <c r="O26" i="15"/>
  <c r="D26" i="15"/>
  <c r="F26" i="15"/>
  <c r="B26" i="15"/>
  <c r="P26" i="15"/>
  <c r="N26" i="15"/>
  <c r="M26" i="15"/>
  <c r="L26" i="15"/>
  <c r="K26" i="15"/>
  <c r="J26" i="15"/>
  <c r="I26" i="15"/>
  <c r="H30" i="15"/>
  <c r="K36" i="15"/>
  <c r="D57" i="15"/>
  <c r="Q64" i="15"/>
  <c r="H84" i="15"/>
  <c r="E90" i="15"/>
  <c r="F91" i="13"/>
  <c r="F28" i="14"/>
  <c r="G9" i="13"/>
  <c r="D21" i="13"/>
  <c r="G21" i="13" s="1"/>
  <c r="K27" i="13"/>
  <c r="G81" i="13"/>
  <c r="J81" i="13"/>
  <c r="I81" i="13"/>
  <c r="H81" i="13"/>
  <c r="F81" i="13"/>
  <c r="J98" i="13"/>
  <c r="G28" i="14"/>
  <c r="C86" i="14"/>
  <c r="H93" i="14"/>
  <c r="G103" i="14"/>
  <c r="E52" i="15"/>
  <c r="J52" i="15"/>
  <c r="P52" i="15"/>
  <c r="M52" i="15"/>
  <c r="Q52" i="15"/>
  <c r="O52" i="15"/>
  <c r="I52" i="15"/>
  <c r="H52" i="15"/>
  <c r="G52" i="15"/>
  <c r="F52" i="15"/>
  <c r="K52" i="15"/>
  <c r="N52" i="15"/>
  <c r="L52" i="15"/>
  <c r="D52" i="15"/>
  <c r="B16" i="13"/>
  <c r="E26" i="13"/>
  <c r="J74" i="13"/>
  <c r="E81" i="13"/>
  <c r="J99" i="13"/>
  <c r="H99" i="13"/>
  <c r="O10" i="14"/>
  <c r="D86" i="14"/>
  <c r="J49" i="13"/>
  <c r="I49" i="13"/>
  <c r="H49" i="13"/>
  <c r="F49" i="13"/>
  <c r="H77" i="14"/>
  <c r="F77" i="14"/>
  <c r="D77" i="14"/>
  <c r="Q77" i="14"/>
  <c r="P77" i="14"/>
  <c r="O77" i="14"/>
  <c r="N77" i="14"/>
  <c r="I77" i="14"/>
  <c r="M77" i="14"/>
  <c r="L77" i="14"/>
  <c r="J77" i="14"/>
  <c r="K77" i="14"/>
  <c r="G77" i="14"/>
  <c r="J103" i="14"/>
  <c r="C52" i="15"/>
  <c r="G7" i="13"/>
  <c r="I99" i="13"/>
  <c r="H9" i="14"/>
  <c r="G9" i="14"/>
  <c r="F9" i="14"/>
  <c r="K9" i="14"/>
  <c r="J9" i="14"/>
  <c r="I9" i="14"/>
  <c r="E9" i="14"/>
  <c r="D9" i="14"/>
  <c r="B9" i="14"/>
  <c r="G13" i="14"/>
  <c r="E77" i="14"/>
  <c r="O49" i="15"/>
  <c r="H7" i="13"/>
  <c r="H39" i="15"/>
  <c r="I36" i="13"/>
  <c r="F86" i="13"/>
  <c r="H93" i="13"/>
  <c r="B30" i="15"/>
  <c r="M39" i="15"/>
  <c r="I96" i="15"/>
  <c r="N96" i="15"/>
  <c r="G96" i="15"/>
  <c r="F96" i="15"/>
  <c r="E96" i="15"/>
  <c r="D96" i="15"/>
  <c r="C96" i="15"/>
  <c r="Q96" i="15"/>
  <c r="L96" i="15"/>
  <c r="K96" i="15"/>
  <c r="J96" i="15"/>
  <c r="H96" i="15"/>
  <c r="B96" i="15"/>
  <c r="P96" i="15"/>
  <c r="O96" i="15"/>
  <c r="I11" i="13"/>
  <c r="B17" i="13"/>
  <c r="J18" i="13"/>
  <c r="C24" i="13"/>
  <c r="I28" i="13"/>
  <c r="C30" i="13"/>
  <c r="M31" i="13"/>
  <c r="E37" i="13"/>
  <c r="E44" i="13"/>
  <c r="J54" i="13"/>
  <c r="I54" i="13"/>
  <c r="H54" i="13"/>
  <c r="G54" i="13"/>
  <c r="E54" i="13"/>
  <c r="I63" i="13"/>
  <c r="G66" i="13"/>
  <c r="F70" i="13"/>
  <c r="G83" i="13"/>
  <c r="F101" i="13"/>
  <c r="F104" i="13"/>
  <c r="O9" i="14"/>
  <c r="Q11" i="14"/>
  <c r="L13" i="14"/>
  <c r="B21" i="14"/>
  <c r="Q29" i="14"/>
  <c r="N75" i="14"/>
  <c r="K90" i="14"/>
  <c r="I90" i="14"/>
  <c r="G90" i="14"/>
  <c r="E90" i="14"/>
  <c r="D90" i="14"/>
  <c r="C90" i="14"/>
  <c r="B90" i="14"/>
  <c r="P90" i="14"/>
  <c r="O90" i="14"/>
  <c r="Q90" i="14"/>
  <c r="N90" i="14"/>
  <c r="I92" i="14"/>
  <c r="G92" i="14"/>
  <c r="E92" i="14"/>
  <c r="L92" i="14"/>
  <c r="K92" i="14"/>
  <c r="J92" i="14"/>
  <c r="H92" i="14"/>
  <c r="P92" i="14"/>
  <c r="O92" i="14"/>
  <c r="N92" i="14"/>
  <c r="F92" i="14"/>
  <c r="D92" i="14"/>
  <c r="M92" i="14"/>
  <c r="C92" i="14"/>
  <c r="O100" i="14"/>
  <c r="L100" i="14"/>
  <c r="M100" i="14"/>
  <c r="J100" i="14"/>
  <c r="I100" i="14"/>
  <c r="H100" i="14"/>
  <c r="G100" i="14"/>
  <c r="F100" i="14"/>
  <c r="E100" i="14"/>
  <c r="D100" i="14"/>
  <c r="C100" i="14"/>
  <c r="Q100" i="14"/>
  <c r="P100" i="14"/>
  <c r="N100" i="14"/>
  <c r="K100" i="14"/>
  <c r="B100" i="14"/>
  <c r="E6" i="15"/>
  <c r="I10" i="15"/>
  <c r="C26" i="15"/>
  <c r="L57" i="15"/>
  <c r="H65" i="15"/>
  <c r="M65" i="15"/>
  <c r="K65" i="15"/>
  <c r="G65" i="15"/>
  <c r="Q65" i="15"/>
  <c r="P65" i="15"/>
  <c r="O65" i="15"/>
  <c r="N65" i="15"/>
  <c r="L65" i="15"/>
  <c r="J65" i="15"/>
  <c r="I65" i="15"/>
  <c r="F65" i="15"/>
  <c r="C65" i="15"/>
  <c r="E65" i="15"/>
  <c r="D65" i="15"/>
  <c r="B65" i="15"/>
  <c r="I84" i="15"/>
  <c r="F90" i="15"/>
  <c r="C22" i="15"/>
  <c r="H22" i="15"/>
  <c r="B22" i="15"/>
  <c r="Q22" i="15"/>
  <c r="J22" i="15"/>
  <c r="G22" i="15"/>
  <c r="F22" i="15"/>
  <c r="E22" i="15"/>
  <c r="P22" i="15"/>
  <c r="O22" i="15"/>
  <c r="N22" i="15"/>
  <c r="M22" i="15"/>
  <c r="L22" i="15"/>
  <c r="B10" i="14"/>
  <c r="C26" i="13"/>
  <c r="I32" i="13"/>
  <c r="I22" i="15"/>
  <c r="D26" i="13"/>
  <c r="G26" i="13" s="1"/>
  <c r="B29" i="13"/>
  <c r="N10" i="14"/>
  <c r="K22" i="14"/>
  <c r="J22" i="14"/>
  <c r="I22" i="14"/>
  <c r="Q22" i="14"/>
  <c r="N22" i="14"/>
  <c r="P22" i="14"/>
  <c r="M22" i="14"/>
  <c r="O22" i="14"/>
  <c r="L22" i="14"/>
  <c r="Q81" i="14"/>
  <c r="G98" i="15"/>
  <c r="L98" i="15"/>
  <c r="J98" i="15"/>
  <c r="I98" i="15"/>
  <c r="H98" i="15"/>
  <c r="F98" i="15"/>
  <c r="E98" i="15"/>
  <c r="Q98" i="15"/>
  <c r="P98" i="15"/>
  <c r="O98" i="15"/>
  <c r="N98" i="15"/>
  <c r="M98" i="15"/>
  <c r="K98" i="15"/>
  <c r="D98" i="15"/>
  <c r="C98" i="15"/>
  <c r="B98" i="15"/>
  <c r="L27" i="13"/>
  <c r="K32" i="13"/>
  <c r="F88" i="13"/>
  <c r="H103" i="14"/>
  <c r="G18" i="15"/>
  <c r="L18" i="15"/>
  <c r="P18" i="15"/>
  <c r="M18" i="15"/>
  <c r="O18" i="15"/>
  <c r="N18" i="15"/>
  <c r="K18" i="15"/>
  <c r="Q18" i="15"/>
  <c r="J18" i="15"/>
  <c r="F18" i="15"/>
  <c r="I18" i="15"/>
  <c r="H18" i="15"/>
  <c r="E18" i="15"/>
  <c r="K19" i="13"/>
  <c r="J35" i="13"/>
  <c r="H75" i="13"/>
  <c r="G75" i="13"/>
  <c r="F78" i="13"/>
  <c r="E99" i="13"/>
  <c r="P10" i="14"/>
  <c r="F20" i="13"/>
  <c r="E20" i="13"/>
  <c r="C20" i="13"/>
  <c r="I75" i="13"/>
  <c r="E11" i="13"/>
  <c r="H39" i="13"/>
  <c r="H46" i="13"/>
  <c r="E63" i="13"/>
  <c r="F27" i="14"/>
  <c r="E27" i="14"/>
  <c r="D27" i="14"/>
  <c r="L27" i="14"/>
  <c r="K27" i="14"/>
  <c r="G27" i="14"/>
  <c r="J27" i="14"/>
  <c r="H27" i="14"/>
  <c r="I27" i="14"/>
  <c r="C27" i="14"/>
  <c r="B13" i="15"/>
  <c r="O13" i="15"/>
  <c r="J13" i="15"/>
  <c r="H13" i="15"/>
  <c r="G13" i="15"/>
  <c r="F13" i="15"/>
  <c r="L13" i="15"/>
  <c r="K13" i="15"/>
  <c r="I13" i="15"/>
  <c r="E13" i="15"/>
  <c r="Q13" i="15"/>
  <c r="P13" i="15"/>
  <c r="N13" i="15"/>
  <c r="K30" i="15"/>
  <c r="P30" i="15"/>
  <c r="I30" i="15"/>
  <c r="F30" i="15"/>
  <c r="J30" i="15"/>
  <c r="G30" i="15"/>
  <c r="E30" i="15"/>
  <c r="D30" i="15"/>
  <c r="O30" i="15"/>
  <c r="N30" i="15"/>
  <c r="M30" i="15"/>
  <c r="L30" i="15"/>
  <c r="P49" i="15"/>
  <c r="K14" i="13"/>
  <c r="F63" i="13"/>
  <c r="G11" i="13"/>
  <c r="L14" i="13"/>
  <c r="J36" i="13"/>
  <c r="C17" i="13"/>
  <c r="K18" i="13"/>
  <c r="M22" i="13"/>
  <c r="K22" i="13"/>
  <c r="J28" i="13"/>
  <c r="D30" i="13"/>
  <c r="G30" i="13" s="1"/>
  <c r="G37" i="13"/>
  <c r="F44" i="13"/>
  <c r="G70" i="13"/>
  <c r="H83" i="13"/>
  <c r="G101" i="13"/>
  <c r="G104" i="13"/>
  <c r="P9" i="14"/>
  <c r="E12" i="14"/>
  <c r="D12" i="14"/>
  <c r="C12" i="14"/>
  <c r="Q12" i="14"/>
  <c r="L12" i="14"/>
  <c r="P12" i="14"/>
  <c r="O12" i="14"/>
  <c r="N12" i="14"/>
  <c r="M12" i="14"/>
  <c r="K12" i="14"/>
  <c r="N19" i="14"/>
  <c r="M19" i="14"/>
  <c r="L19" i="14"/>
  <c r="I19" i="14"/>
  <c r="D19" i="14"/>
  <c r="H19" i="14"/>
  <c r="G19" i="14"/>
  <c r="F19" i="14"/>
  <c r="E19" i="14"/>
  <c r="C19" i="14"/>
  <c r="C21" i="14"/>
  <c r="P27" i="14"/>
  <c r="O75" i="14"/>
  <c r="G6" i="15"/>
  <c r="J10" i="15"/>
  <c r="E26" i="15"/>
  <c r="J31" i="15"/>
  <c r="O31" i="15"/>
  <c r="K31" i="15"/>
  <c r="G31" i="15"/>
  <c r="N31" i="15"/>
  <c r="L31" i="15"/>
  <c r="I31" i="15"/>
  <c r="H31" i="15"/>
  <c r="Q31" i="15"/>
  <c r="F31" i="15"/>
  <c r="P31" i="15"/>
  <c r="M31" i="15"/>
  <c r="E31" i="15"/>
  <c r="M57" i="15"/>
  <c r="I84" i="13"/>
  <c r="H84" i="13"/>
  <c r="J84" i="13"/>
  <c r="E84" i="13"/>
  <c r="G84" i="13"/>
  <c r="F84" i="13"/>
  <c r="E14" i="13"/>
  <c r="D14" i="13"/>
  <c r="G14" i="13" s="1"/>
  <c r="B14" i="13"/>
  <c r="C14" i="13"/>
  <c r="B21" i="13"/>
  <c r="E91" i="13"/>
  <c r="O86" i="14"/>
  <c r="M86" i="14"/>
  <c r="K86" i="14"/>
  <c r="P86" i="14"/>
  <c r="N86" i="14"/>
  <c r="L86" i="14"/>
  <c r="J86" i="14"/>
  <c r="I86" i="14"/>
  <c r="H86" i="14"/>
  <c r="Q86" i="14"/>
  <c r="G86" i="14"/>
  <c r="C21" i="13"/>
  <c r="J102" i="13"/>
  <c r="H102" i="13"/>
  <c r="G102" i="13"/>
  <c r="I102" i="13"/>
  <c r="F102" i="13"/>
  <c r="C10" i="14"/>
  <c r="I19" i="13"/>
  <c r="E88" i="13"/>
  <c r="H9" i="13"/>
  <c r="J42" i="13"/>
  <c r="I42" i="13"/>
  <c r="H42" i="13"/>
  <c r="G42" i="13"/>
  <c r="E42" i="13"/>
  <c r="B22" i="14"/>
  <c r="O28" i="14"/>
  <c r="B49" i="15"/>
  <c r="C16" i="13"/>
  <c r="I68" i="13"/>
  <c r="H68" i="13"/>
  <c r="J68" i="13"/>
  <c r="M20" i="14"/>
  <c r="L20" i="14"/>
  <c r="K20" i="14"/>
  <c r="N20" i="14"/>
  <c r="J20" i="14"/>
  <c r="G20" i="14"/>
  <c r="I20" i="14"/>
  <c r="F20" i="14"/>
  <c r="H20" i="14"/>
  <c r="E20" i="14"/>
  <c r="P28" i="14"/>
  <c r="B74" i="14"/>
  <c r="K93" i="14"/>
  <c r="J95" i="15"/>
  <c r="O95" i="15"/>
  <c r="F95" i="15"/>
  <c r="E95" i="15"/>
  <c r="C95" i="15"/>
  <c r="B95" i="15"/>
  <c r="P95" i="15"/>
  <c r="N95" i="15"/>
  <c r="M95" i="15"/>
  <c r="L95" i="15"/>
  <c r="K95" i="15"/>
  <c r="I95" i="15"/>
  <c r="E25" i="13"/>
  <c r="G39" i="13"/>
  <c r="J14" i="13"/>
  <c r="B20" i="13"/>
  <c r="H65" i="13"/>
  <c r="I7" i="13"/>
  <c r="D20" i="13"/>
  <c r="G20" i="13" s="1"/>
  <c r="I65" i="13"/>
  <c r="I76" i="13"/>
  <c r="J76" i="13"/>
  <c r="G76" i="13"/>
  <c r="I13" i="14"/>
  <c r="H22" i="14"/>
  <c r="B27" i="14"/>
  <c r="I31" i="13"/>
  <c r="M18" i="13"/>
  <c r="F34" i="13"/>
  <c r="J34" i="13"/>
  <c r="G44" i="13"/>
  <c r="I61" i="13"/>
  <c r="J61" i="13"/>
  <c r="G61" i="13"/>
  <c r="H70" i="13"/>
  <c r="F73" i="13"/>
  <c r="E73" i="13"/>
  <c r="J73" i="13"/>
  <c r="I83" i="13"/>
  <c r="H104" i="13"/>
  <c r="Q9" i="14"/>
  <c r="B12" i="14"/>
  <c r="B19" i="14"/>
  <c r="D21" i="14"/>
  <c r="Q27" i="14"/>
  <c r="B97" i="14"/>
  <c r="O97" i="14"/>
  <c r="K97" i="14"/>
  <c r="I97" i="14"/>
  <c r="H97" i="14"/>
  <c r="G97" i="14"/>
  <c r="Q97" i="14"/>
  <c r="P97" i="14"/>
  <c r="N97" i="14"/>
  <c r="L97" i="14"/>
  <c r="M97" i="14"/>
  <c r="J97" i="14"/>
  <c r="F97" i="14"/>
  <c r="H6" i="15"/>
  <c r="K10" i="15"/>
  <c r="G26" i="15"/>
  <c r="B31" i="15"/>
  <c r="O18" i="14"/>
  <c r="N18" i="14"/>
  <c r="M18" i="14"/>
  <c r="G26" i="14"/>
  <c r="F26" i="14"/>
  <c r="E26" i="14"/>
  <c r="P85" i="14"/>
  <c r="N85" i="14"/>
  <c r="L85" i="14"/>
  <c r="K85" i="14"/>
  <c r="J85" i="14"/>
  <c r="I85" i="14"/>
  <c r="H85" i="14"/>
  <c r="E94" i="14"/>
  <c r="I94" i="14"/>
  <c r="G94" i="14"/>
  <c r="F94" i="14"/>
  <c r="D94" i="14"/>
  <c r="Q94" i="14"/>
  <c r="K104" i="14"/>
  <c r="H104" i="14"/>
  <c r="P104" i="14"/>
  <c r="O104" i="14"/>
  <c r="N104" i="14"/>
  <c r="M104" i="14"/>
  <c r="L104" i="14"/>
  <c r="J104" i="14"/>
  <c r="I104" i="14"/>
  <c r="G105" i="13"/>
  <c r="F105" i="13"/>
  <c r="E105" i="13"/>
  <c r="C18" i="14"/>
  <c r="M60" i="15"/>
  <c r="B60" i="15"/>
  <c r="F60" i="15"/>
  <c r="C60" i="15"/>
  <c r="Q60" i="15"/>
  <c r="P60" i="15"/>
  <c r="O60" i="15"/>
  <c r="N60" i="15"/>
  <c r="L60" i="15"/>
  <c r="B79" i="15"/>
  <c r="F92" i="13"/>
  <c r="E8" i="13"/>
  <c r="D18" i="14"/>
  <c r="D26" i="14"/>
  <c r="D85" i="14"/>
  <c r="H94" i="14"/>
  <c r="D104" i="14"/>
  <c r="P15" i="15"/>
  <c r="M15" i="15"/>
  <c r="J15" i="15"/>
  <c r="H15" i="15"/>
  <c r="G15" i="15"/>
  <c r="F15" i="15"/>
  <c r="Q15" i="15"/>
  <c r="O15" i="15"/>
  <c r="N15" i="15"/>
  <c r="M44" i="15"/>
  <c r="B44" i="15"/>
  <c r="G44" i="15"/>
  <c r="D44" i="15"/>
  <c r="N44" i="15"/>
  <c r="K44" i="15"/>
  <c r="J44" i="15"/>
  <c r="I44" i="15"/>
  <c r="Q44" i="15"/>
  <c r="P44" i="15"/>
  <c r="O44" i="15"/>
  <c r="C50" i="15"/>
  <c r="D60" i="15"/>
  <c r="C79" i="15"/>
  <c r="G89" i="13"/>
  <c r="F89" i="13"/>
  <c r="E89" i="13"/>
  <c r="I8" i="14"/>
  <c r="H8" i="14"/>
  <c r="G8" i="14"/>
  <c r="J30" i="13"/>
  <c r="F47" i="13"/>
  <c r="F59" i="13"/>
  <c r="F79" i="13"/>
  <c r="B8" i="14"/>
  <c r="H25" i="14"/>
  <c r="G25" i="14"/>
  <c r="F25" i="14"/>
  <c r="I76" i="14"/>
  <c r="G76" i="14"/>
  <c r="E76" i="14"/>
  <c r="O76" i="14"/>
  <c r="N76" i="14"/>
  <c r="M76" i="14"/>
  <c r="L76" i="14"/>
  <c r="C85" i="14"/>
  <c r="C94" i="14"/>
  <c r="C104" i="14"/>
  <c r="B50" i="15"/>
  <c r="B19" i="13"/>
  <c r="K30" i="13"/>
  <c r="B32" i="13"/>
  <c r="E40" i="13"/>
  <c r="G47" i="13"/>
  <c r="E52" i="13"/>
  <c r="H59" i="13"/>
  <c r="G79" i="13"/>
  <c r="I89" i="13"/>
  <c r="G92" i="13"/>
  <c r="F97" i="13"/>
  <c r="J100" i="13"/>
  <c r="I100" i="13"/>
  <c r="H100" i="13"/>
  <c r="H105" i="13"/>
  <c r="J7" i="14"/>
  <c r="I7" i="14"/>
  <c r="H7" i="14"/>
  <c r="C8" i="14"/>
  <c r="B17" i="14"/>
  <c r="F8" i="13"/>
  <c r="L17" i="13"/>
  <c r="C19" i="13"/>
  <c r="C23" i="13"/>
  <c r="L30" i="13"/>
  <c r="C32" i="13"/>
  <c r="F40" i="13"/>
  <c r="E45" i="13"/>
  <c r="H47" i="13"/>
  <c r="F52" i="13"/>
  <c r="F57" i="13"/>
  <c r="I59" i="13"/>
  <c r="E62" i="13"/>
  <c r="J77" i="13"/>
  <c r="I77" i="13"/>
  <c r="H79" i="13"/>
  <c r="J89" i="13"/>
  <c r="H92" i="13"/>
  <c r="E95" i="13"/>
  <c r="G97" i="13"/>
  <c r="E100" i="13"/>
  <c r="I105" i="13"/>
  <c r="B7" i="14"/>
  <c r="D8" i="14"/>
  <c r="E18" i="14"/>
  <c r="I24" i="14"/>
  <c r="H24" i="14"/>
  <c r="G24" i="14"/>
  <c r="C25" i="14"/>
  <c r="H26" i="14"/>
  <c r="L73" i="14"/>
  <c r="J73" i="14"/>
  <c r="H73" i="14"/>
  <c r="F73" i="14"/>
  <c r="E73" i="14"/>
  <c r="D73" i="14"/>
  <c r="C73" i="14"/>
  <c r="C76" i="14"/>
  <c r="E85" i="14"/>
  <c r="N87" i="14"/>
  <c r="L87" i="14"/>
  <c r="J87" i="14"/>
  <c r="Q87" i="14"/>
  <c r="P87" i="14"/>
  <c r="O87" i="14"/>
  <c r="J91" i="14"/>
  <c r="H91" i="14"/>
  <c r="F91" i="14"/>
  <c r="I91" i="14"/>
  <c r="G91" i="14"/>
  <c r="E91" i="14"/>
  <c r="D91" i="14"/>
  <c r="J94" i="14"/>
  <c r="E104" i="14"/>
  <c r="B15" i="15"/>
  <c r="C44" i="15"/>
  <c r="E60" i="15"/>
  <c r="E100" i="15"/>
  <c r="J100" i="15"/>
  <c r="M100" i="15"/>
  <c r="L100" i="15"/>
  <c r="K100" i="15"/>
  <c r="I100" i="15"/>
  <c r="H100" i="15"/>
  <c r="N100" i="15"/>
  <c r="G100" i="15"/>
  <c r="F100" i="15"/>
  <c r="D100" i="15"/>
  <c r="C100" i="15"/>
  <c r="B100" i="15"/>
  <c r="Q100" i="15"/>
  <c r="P100" i="15"/>
  <c r="G50" i="15"/>
  <c r="L50" i="15"/>
  <c r="N50" i="15"/>
  <c r="J50" i="15"/>
  <c r="M50" i="15"/>
  <c r="K50" i="15"/>
  <c r="I50" i="15"/>
  <c r="H50" i="15"/>
  <c r="F50" i="15"/>
  <c r="Q50" i="15"/>
  <c r="P50" i="15"/>
  <c r="O50" i="15"/>
  <c r="E50" i="15"/>
  <c r="J79" i="15"/>
  <c r="O79" i="15"/>
  <c r="G79" i="15"/>
  <c r="D79" i="15"/>
  <c r="Q79" i="15"/>
  <c r="P79" i="15"/>
  <c r="N79" i="15"/>
  <c r="M79" i="15"/>
  <c r="L79" i="15"/>
  <c r="K79" i="15"/>
  <c r="J17" i="13"/>
  <c r="H89" i="13"/>
  <c r="E97" i="13"/>
  <c r="P17" i="14"/>
  <c r="O17" i="14"/>
  <c r="N17" i="14"/>
  <c r="C26" i="14"/>
  <c r="K17" i="13"/>
  <c r="G8" i="13"/>
  <c r="D19" i="13"/>
  <c r="G19" i="13" s="1"/>
  <c r="D23" i="13"/>
  <c r="G23" i="13" s="1"/>
  <c r="D32" i="13"/>
  <c r="G32" i="13" s="1"/>
  <c r="G40" i="13"/>
  <c r="F45" i="13"/>
  <c r="I47" i="13"/>
  <c r="G52" i="13"/>
  <c r="G57" i="13"/>
  <c r="J59" i="13"/>
  <c r="I79" i="13"/>
  <c r="G82" i="13"/>
  <c r="F82" i="13"/>
  <c r="I92" i="13"/>
  <c r="H97" i="13"/>
  <c r="F100" i="13"/>
  <c r="J105" i="13"/>
  <c r="C7" i="14"/>
  <c r="E8" i="14"/>
  <c r="D17" i="14"/>
  <c r="F18" i="14"/>
  <c r="D25" i="14"/>
  <c r="I26" i="14"/>
  <c r="D76" i="14"/>
  <c r="F85" i="14"/>
  <c r="K94" i="14"/>
  <c r="C96" i="14"/>
  <c r="P96" i="14"/>
  <c r="J96" i="14"/>
  <c r="H96" i="14"/>
  <c r="G96" i="14"/>
  <c r="F96" i="14"/>
  <c r="M96" i="14"/>
  <c r="L96" i="14"/>
  <c r="K96" i="14"/>
  <c r="I96" i="14"/>
  <c r="F104" i="14"/>
  <c r="C15" i="15"/>
  <c r="I32" i="15"/>
  <c r="N32" i="15"/>
  <c r="L32" i="15"/>
  <c r="H32" i="15"/>
  <c r="P32" i="15"/>
  <c r="O32" i="15"/>
  <c r="M32" i="15"/>
  <c r="F32" i="15"/>
  <c r="E32" i="15"/>
  <c r="D32" i="15"/>
  <c r="C32" i="15"/>
  <c r="E44" i="15"/>
  <c r="F51" i="15"/>
  <c r="K51" i="15"/>
  <c r="O51" i="15"/>
  <c r="L51" i="15"/>
  <c r="Q51" i="15"/>
  <c r="P51" i="15"/>
  <c r="N51" i="15"/>
  <c r="M51" i="15"/>
  <c r="J51" i="15"/>
  <c r="G60" i="15"/>
  <c r="J63" i="15"/>
  <c r="O63" i="15"/>
  <c r="H63" i="15"/>
  <c r="E63" i="15"/>
  <c r="I63" i="15"/>
  <c r="G63" i="15"/>
  <c r="F63" i="15"/>
  <c r="D63" i="15"/>
  <c r="C63" i="15"/>
  <c r="B63" i="15"/>
  <c r="Q63" i="15"/>
  <c r="P63" i="15"/>
  <c r="N63" i="15"/>
  <c r="M63" i="15"/>
  <c r="F79" i="15"/>
  <c r="F83" i="15"/>
  <c r="K83" i="15"/>
  <c r="M83" i="15"/>
  <c r="I83" i="15"/>
  <c r="O83" i="15"/>
  <c r="N83" i="15"/>
  <c r="L83" i="15"/>
  <c r="J83" i="15"/>
  <c r="H83" i="15"/>
  <c r="G83" i="15"/>
  <c r="E83" i="15"/>
  <c r="D83" i="15"/>
  <c r="C83" i="15"/>
  <c r="B83" i="15"/>
  <c r="O100" i="15"/>
  <c r="E19" i="13"/>
  <c r="I52" i="13"/>
  <c r="F8" i="14"/>
  <c r="E17" i="14"/>
  <c r="G18" i="14"/>
  <c r="J23" i="14"/>
  <c r="I23" i="14"/>
  <c r="H23" i="14"/>
  <c r="E25" i="14"/>
  <c r="J26" i="14"/>
  <c r="F76" i="14"/>
  <c r="G78" i="14"/>
  <c r="E78" i="14"/>
  <c r="C78" i="14"/>
  <c r="Q78" i="14"/>
  <c r="P78" i="14"/>
  <c r="B83" i="14"/>
  <c r="P83" i="14"/>
  <c r="N83" i="14"/>
  <c r="J83" i="14"/>
  <c r="I83" i="14"/>
  <c r="H83" i="14"/>
  <c r="G83" i="14"/>
  <c r="G85" i="14"/>
  <c r="L94" i="14"/>
  <c r="N101" i="14"/>
  <c r="K101" i="14"/>
  <c r="O101" i="14"/>
  <c r="L101" i="14"/>
  <c r="J101" i="14"/>
  <c r="I101" i="14"/>
  <c r="Q101" i="14"/>
  <c r="P101" i="14"/>
  <c r="M101" i="14"/>
  <c r="G104" i="14"/>
  <c r="M17" i="15"/>
  <c r="O17" i="15"/>
  <c r="K17" i="15"/>
  <c r="N17" i="15"/>
  <c r="J17" i="15"/>
  <c r="I17" i="15"/>
  <c r="H17" i="15"/>
  <c r="F17" i="15"/>
  <c r="E17" i="15"/>
  <c r="D17" i="15"/>
  <c r="C17" i="15"/>
  <c r="H60" i="15"/>
  <c r="C70" i="15"/>
  <c r="H70" i="15"/>
  <c r="Q70" i="15"/>
  <c r="N70" i="15"/>
  <c r="O70" i="15"/>
  <c r="M70" i="15"/>
  <c r="L70" i="15"/>
  <c r="K70" i="15"/>
  <c r="J70" i="15"/>
  <c r="I70" i="15"/>
  <c r="M76" i="15"/>
  <c r="B76" i="15"/>
  <c r="F76" i="15"/>
  <c r="C76" i="15"/>
  <c r="L76" i="15"/>
  <c r="K76" i="15"/>
  <c r="J76" i="15"/>
  <c r="I76" i="15"/>
  <c r="H76" i="15"/>
  <c r="G76" i="15"/>
  <c r="Q76" i="15"/>
  <c r="P76" i="15"/>
  <c r="H79" i="15"/>
  <c r="M72" i="14"/>
  <c r="K72" i="14"/>
  <c r="I72" i="14"/>
  <c r="F35" i="15"/>
  <c r="K35" i="15"/>
  <c r="P35" i="15"/>
  <c r="M35" i="15"/>
  <c r="H35" i="15"/>
  <c r="E35" i="15"/>
  <c r="D35" i="15"/>
  <c r="C35" i="15"/>
  <c r="D69" i="15"/>
  <c r="I69" i="15"/>
  <c r="P69" i="15"/>
  <c r="M69" i="15"/>
  <c r="K69" i="15"/>
  <c r="J69" i="15"/>
  <c r="H69" i="15"/>
  <c r="G69" i="15"/>
  <c r="F69" i="15"/>
  <c r="E69" i="15"/>
  <c r="P15" i="14"/>
  <c r="O16" i="14"/>
  <c r="P31" i="14"/>
  <c r="P32" i="14"/>
  <c r="P33" i="14"/>
  <c r="P34" i="14"/>
  <c r="P35" i="14"/>
  <c r="O37" i="14"/>
  <c r="P38" i="14"/>
  <c r="P39" i="14"/>
  <c r="P40" i="14"/>
  <c r="P41" i="14"/>
  <c r="P42" i="14"/>
  <c r="P43" i="14"/>
  <c r="P44" i="14"/>
  <c r="P45" i="14"/>
  <c r="P46" i="14"/>
  <c r="P47" i="14"/>
  <c r="P48" i="14"/>
  <c r="P49" i="14"/>
  <c r="P50" i="14"/>
  <c r="P51" i="14"/>
  <c r="O53" i="14"/>
  <c r="P54" i="14"/>
  <c r="P55" i="14"/>
  <c r="P56" i="14"/>
  <c r="P57" i="14"/>
  <c r="P58" i="14"/>
  <c r="P59" i="14"/>
  <c r="P60" i="14"/>
  <c r="P61" i="14"/>
  <c r="P62" i="14"/>
  <c r="P63" i="14"/>
  <c r="P64" i="14"/>
  <c r="P65" i="14"/>
  <c r="P66" i="14"/>
  <c r="P67" i="14"/>
  <c r="N71" i="14"/>
  <c r="J71" i="14"/>
  <c r="B72" i="14"/>
  <c r="L89" i="14"/>
  <c r="J89" i="14"/>
  <c r="H89" i="14"/>
  <c r="D95" i="14"/>
  <c r="Q95" i="14"/>
  <c r="I95" i="14"/>
  <c r="G95" i="14"/>
  <c r="F95" i="14"/>
  <c r="E95" i="14"/>
  <c r="B35" i="15"/>
  <c r="N43" i="15"/>
  <c r="C43" i="15"/>
  <c r="F43" i="15"/>
  <c r="B43" i="15"/>
  <c r="J43" i="15"/>
  <c r="H43" i="15"/>
  <c r="G43" i="15"/>
  <c r="E43" i="15"/>
  <c r="B69" i="15"/>
  <c r="D101" i="15"/>
  <c r="I101" i="15"/>
  <c r="N101" i="15"/>
  <c r="M101" i="15"/>
  <c r="L101" i="15"/>
  <c r="K101" i="15"/>
  <c r="J101" i="15"/>
  <c r="Q101" i="15"/>
  <c r="P101" i="15"/>
  <c r="O101" i="15"/>
  <c r="B103" i="15"/>
  <c r="G103" i="15"/>
  <c r="P103" i="15"/>
  <c r="O103" i="15"/>
  <c r="N103" i="15"/>
  <c r="M103" i="15"/>
  <c r="L103" i="15"/>
  <c r="K103" i="15"/>
  <c r="J103" i="15"/>
  <c r="I103" i="15"/>
  <c r="H103" i="15"/>
  <c r="F103" i="15"/>
  <c r="E103" i="15"/>
  <c r="P16" i="14"/>
  <c r="Q32" i="14"/>
  <c r="Q33" i="14"/>
  <c r="Q34" i="14"/>
  <c r="Q35" i="14"/>
  <c r="Q37" i="14"/>
  <c r="Q38" i="14"/>
  <c r="O70" i="14"/>
  <c r="K70" i="14"/>
  <c r="C72" i="14"/>
  <c r="F79" i="14"/>
  <c r="D79" i="14"/>
  <c r="B79" i="14"/>
  <c r="P99" i="14"/>
  <c r="M99" i="14"/>
  <c r="K99" i="14"/>
  <c r="I99" i="14"/>
  <c r="H99" i="14"/>
  <c r="G99" i="14"/>
  <c r="C12" i="15"/>
  <c r="P12" i="15"/>
  <c r="I12" i="15"/>
  <c r="G12" i="15"/>
  <c r="F12" i="15"/>
  <c r="E12" i="15"/>
  <c r="D37" i="15"/>
  <c r="I37" i="15"/>
  <c r="O37" i="15"/>
  <c r="P37" i="15"/>
  <c r="M37" i="15"/>
  <c r="L37" i="15"/>
  <c r="K37" i="15"/>
  <c r="K46" i="15"/>
  <c r="P46" i="15"/>
  <c r="H46" i="15"/>
  <c r="E46" i="15"/>
  <c r="O46" i="15"/>
  <c r="N46" i="15"/>
  <c r="M46" i="15"/>
  <c r="O58" i="15"/>
  <c r="D58" i="15"/>
  <c r="C58" i="15"/>
  <c r="N58" i="15"/>
  <c r="M58" i="15"/>
  <c r="L58" i="15"/>
  <c r="K58" i="15"/>
  <c r="J58" i="15"/>
  <c r="I58" i="15"/>
  <c r="G66" i="15"/>
  <c r="L66" i="15"/>
  <c r="M66" i="15"/>
  <c r="I66" i="15"/>
  <c r="Q66" i="15"/>
  <c r="P66" i="15"/>
  <c r="O66" i="15"/>
  <c r="K78" i="15"/>
  <c r="P78" i="15"/>
  <c r="F78" i="15"/>
  <c r="C78" i="15"/>
  <c r="O78" i="15"/>
  <c r="N78" i="15"/>
  <c r="M78" i="15"/>
  <c r="L78" i="15"/>
  <c r="J78" i="15"/>
  <c r="I78" i="15"/>
  <c r="B101" i="15"/>
  <c r="C103" i="15"/>
  <c r="P69" i="14"/>
  <c r="L69" i="14"/>
  <c r="B70" i="14"/>
  <c r="C71" i="14"/>
  <c r="D72" i="14"/>
  <c r="C79" i="14"/>
  <c r="M88" i="14"/>
  <c r="K88" i="14"/>
  <c r="I88" i="14"/>
  <c r="C89" i="14"/>
  <c r="C95" i="14"/>
  <c r="B99" i="14"/>
  <c r="M102" i="14"/>
  <c r="J102" i="14"/>
  <c r="P102" i="14"/>
  <c r="N102" i="14"/>
  <c r="L102" i="14"/>
  <c r="K102" i="14"/>
  <c r="B12" i="15"/>
  <c r="O16" i="15"/>
  <c r="L16" i="15"/>
  <c r="K16" i="15"/>
  <c r="I16" i="15"/>
  <c r="H16" i="15"/>
  <c r="G16" i="15"/>
  <c r="B23" i="15"/>
  <c r="G23" i="15"/>
  <c r="D23" i="15"/>
  <c r="M23" i="15"/>
  <c r="K23" i="15"/>
  <c r="J23" i="15"/>
  <c r="I23" i="15"/>
  <c r="I35" i="15"/>
  <c r="B37" i="15"/>
  <c r="I43" i="15"/>
  <c r="B46" i="15"/>
  <c r="C54" i="15"/>
  <c r="H54" i="15"/>
  <c r="O54" i="15"/>
  <c r="G54" i="15"/>
  <c r="F54" i="15"/>
  <c r="E54" i="15"/>
  <c r="D54" i="15"/>
  <c r="B54" i="15"/>
  <c r="B58" i="15"/>
  <c r="B66" i="15"/>
  <c r="L69" i="15"/>
  <c r="B78" i="15"/>
  <c r="E68" i="15"/>
  <c r="J68" i="15"/>
  <c r="O68" i="15"/>
  <c r="L68" i="15"/>
  <c r="Q80" i="14"/>
  <c r="O82" i="14"/>
  <c r="F9" i="15"/>
  <c r="C9" i="15"/>
  <c r="B68" i="15"/>
  <c r="O74" i="15"/>
  <c r="D74" i="15"/>
  <c r="C74" i="15"/>
  <c r="H81" i="15"/>
  <c r="M81" i="15"/>
  <c r="J81" i="15"/>
  <c r="F81" i="15"/>
  <c r="H97" i="15"/>
  <c r="M97" i="15"/>
  <c r="I97" i="15"/>
  <c r="G97" i="15"/>
  <c r="F97" i="15"/>
  <c r="E97" i="15"/>
  <c r="D97" i="15"/>
  <c r="G8" i="15"/>
  <c r="D8" i="15"/>
  <c r="E20" i="15"/>
  <c r="J20" i="15"/>
  <c r="O20" i="15"/>
  <c r="M28" i="15"/>
  <c r="B28" i="15"/>
  <c r="H28" i="15"/>
  <c r="E28" i="15"/>
  <c r="G34" i="15"/>
  <c r="L34" i="15"/>
  <c r="O34" i="15"/>
  <c r="K34" i="15"/>
  <c r="I48" i="15"/>
  <c r="N48" i="15"/>
  <c r="K48" i="15"/>
  <c r="G48" i="15"/>
  <c r="K62" i="15"/>
  <c r="P62" i="15"/>
  <c r="G62" i="15"/>
  <c r="D62" i="15"/>
  <c r="C68" i="15"/>
  <c r="B74" i="15"/>
  <c r="B81" i="15"/>
  <c r="C86" i="15"/>
  <c r="H86" i="15"/>
  <c r="P86" i="15"/>
  <c r="M86" i="15"/>
  <c r="L86" i="15"/>
  <c r="B97" i="15"/>
  <c r="Q82" i="14"/>
  <c r="H7" i="15"/>
  <c r="E7" i="15"/>
  <c r="B8" i="15"/>
  <c r="D9" i="15"/>
  <c r="B20" i="15"/>
  <c r="C28" i="15"/>
  <c r="B34" i="15"/>
  <c r="P41" i="15"/>
  <c r="E41" i="15"/>
  <c r="C41" i="15"/>
  <c r="B48" i="15"/>
  <c r="D53" i="15"/>
  <c r="I53" i="15"/>
  <c r="Q53" i="15"/>
  <c r="N53" i="15"/>
  <c r="F67" i="15"/>
  <c r="K67" i="15"/>
  <c r="N67" i="15"/>
  <c r="J67" i="15"/>
  <c r="D68" i="15"/>
  <c r="E74" i="15"/>
  <c r="C81" i="15"/>
  <c r="C97" i="15"/>
  <c r="C102" i="15"/>
  <c r="H102" i="15"/>
  <c r="O102" i="15"/>
  <c r="N102" i="15"/>
  <c r="M102" i="15"/>
  <c r="L102" i="15"/>
  <c r="K102" i="15"/>
  <c r="F68" i="15"/>
  <c r="P73" i="15"/>
  <c r="E73" i="15"/>
  <c r="B73" i="15"/>
  <c r="Q73" i="15"/>
  <c r="I80" i="15"/>
  <c r="N80" i="15"/>
  <c r="H80" i="15"/>
  <c r="E80" i="15"/>
  <c r="N91" i="15"/>
  <c r="C91" i="15"/>
  <c r="D91" i="15"/>
  <c r="Q91" i="15"/>
  <c r="J5" i="15"/>
  <c r="G5" i="15"/>
  <c r="C7" i="15"/>
  <c r="E8" i="15"/>
  <c r="G9" i="15"/>
  <c r="F19" i="15"/>
  <c r="K19" i="15"/>
  <c r="Q19" i="15"/>
  <c r="N19" i="15"/>
  <c r="D20" i="15"/>
  <c r="N27" i="15"/>
  <c r="C27" i="15"/>
  <c r="G27" i="15"/>
  <c r="D27" i="15"/>
  <c r="F28" i="15"/>
  <c r="H33" i="15"/>
  <c r="M33" i="15"/>
  <c r="N33" i="15"/>
  <c r="J33" i="15"/>
  <c r="D34" i="15"/>
  <c r="D41" i="15"/>
  <c r="J47" i="15"/>
  <c r="O47" i="15"/>
  <c r="I47" i="15"/>
  <c r="F47" i="15"/>
  <c r="D48" i="15"/>
  <c r="C53" i="15"/>
  <c r="E62" i="15"/>
  <c r="C67" i="15"/>
  <c r="G68" i="15"/>
  <c r="C73" i="15"/>
  <c r="G74" i="15"/>
  <c r="B80" i="15"/>
  <c r="E81" i="15"/>
  <c r="D85" i="15"/>
  <c r="I85" i="15"/>
  <c r="O85" i="15"/>
  <c r="L85" i="15"/>
  <c r="E86" i="15"/>
  <c r="B91" i="15"/>
  <c r="K97" i="15"/>
  <c r="F99" i="15"/>
  <c r="K99" i="15"/>
  <c r="L99" i="15"/>
  <c r="J99" i="15"/>
  <c r="I99" i="15"/>
  <c r="H99" i="15"/>
  <c r="G99" i="15"/>
  <c r="D102" i="15"/>
  <c r="K94" i="15"/>
  <c r="P94" i="15"/>
  <c r="Q11" i="15"/>
  <c r="P25" i="15"/>
  <c r="E25" i="15"/>
  <c r="O42" i="15"/>
  <c r="D42" i="15"/>
  <c r="N59" i="15"/>
  <c r="C59" i="15"/>
  <c r="N75" i="15"/>
  <c r="C75" i="15"/>
  <c r="M92" i="15"/>
  <c r="B92" i="15"/>
  <c r="B94" i="15"/>
  <c r="D21" i="15"/>
  <c r="I21" i="15"/>
  <c r="D25" i="15"/>
  <c r="C38" i="15"/>
  <c r="H38" i="15"/>
  <c r="E42" i="15"/>
  <c r="B55" i="15"/>
  <c r="G55" i="15"/>
  <c r="E59" i="15"/>
  <c r="E75" i="15"/>
  <c r="P89" i="15"/>
  <c r="E89" i="15"/>
  <c r="E92" i="15"/>
  <c r="E94" i="15"/>
  <c r="Q29" i="15"/>
  <c r="Q45" i="15"/>
  <c r="Q61" i="15"/>
  <c r="F72" i="15"/>
  <c r="F88" i="15"/>
  <c r="F104" i="15"/>
  <c r="P5" i="14" l="1"/>
  <c r="I5" i="14"/>
  <c r="B5" i="14"/>
  <c r="K5" i="14"/>
  <c r="G5" i="14"/>
  <c r="H5" i="14"/>
  <c r="L5" i="14"/>
  <c r="M5" i="14"/>
  <c r="Q5" i="14"/>
  <c r="J5" i="14"/>
  <c r="C5" i="14"/>
  <c r="D5" i="14"/>
  <c r="O5" i="14"/>
  <c r="E5" i="14"/>
  <c r="A6" i="14"/>
  <c r="J6" i="14" s="1"/>
  <c r="N5" i="14"/>
  <c r="D6" i="13"/>
  <c r="I6" i="13" s="1"/>
  <c r="H6" i="13"/>
  <c r="B5" i="13"/>
  <c r="M6" i="14" l="1"/>
  <c r="L6" i="14"/>
  <c r="K6" i="14"/>
  <c r="N6" i="14"/>
  <c r="E6" i="14"/>
  <c r="C6" i="14"/>
  <c r="G6" i="14"/>
  <c r="O6" i="14"/>
  <c r="P6" i="14"/>
  <c r="B6" i="14"/>
  <c r="D6" i="14"/>
  <c r="F6" i="14"/>
  <c r="H6" i="14"/>
  <c r="Q6" i="14"/>
  <c r="I6" i="14"/>
  <c r="E6" i="13"/>
  <c r="F6" i="13"/>
  <c r="G6" i="13"/>
  <c r="J6" i="13"/>
</calcChain>
</file>

<file path=xl/sharedStrings.xml><?xml version="1.0" encoding="utf-8"?>
<sst xmlns="http://schemas.openxmlformats.org/spreadsheetml/2006/main" count="986" uniqueCount="714">
  <si>
    <t>Databricks Medallion Layer Starter Kit / Workshop Kit</t>
  </si>
  <si>
    <t>Editable source tab. Use this workbook to move from early source inventory and workshop planning through Bronze-to-Silver design, governance decisions, Gold product definition, and implementation follow-through. Domain-specific example workbooks may exist separately and can be used as references, but they are not part of the core enterprise starter kit.</t>
  </si>
  <si>
    <t>Quick metric</t>
  </si>
  <si>
    <t>Current value</t>
  </si>
  <si>
    <t>Tab</t>
  </si>
  <si>
    <t>Purpose</t>
  </si>
  <si>
    <t>Required?</t>
  </si>
  <si>
    <t>Primary stage</t>
  </si>
  <si>
    <t>Primary users</t>
  </si>
  <si>
    <t>Important note</t>
  </si>
  <si>
    <t>Total sources listed</t>
  </si>
  <si>
    <t>02 Source Inventory</t>
  </si>
  <si>
    <t>Log sources, ownership, grain, scope, and complexity</t>
  </si>
  <si>
    <t>Required</t>
  </si>
  <si>
    <t>Workshop prep</t>
  </si>
  <si>
    <t>This is the enterprise core kit.</t>
  </si>
  <si>
    <t>In-scope sources</t>
  </si>
  <si>
    <t>03 Bronze Intake</t>
  </si>
  <si>
    <t>Capture Bronze landing, lineage, and early planning details</t>
  </si>
  <si>
    <t>Project lead; engineers; vendor manager</t>
  </si>
  <si>
    <t>Use separate example workbooks for domain-specific reference patterns.</t>
  </si>
  <si>
    <t>Open decisions</t>
  </si>
  <si>
    <t>01 Workshop Plan</t>
  </si>
  <si>
    <t>Plan sessions, participants, agenda focus, and outputs</t>
  </si>
  <si>
    <t>Optional</t>
  </si>
  <si>
    <t>Facilitation</t>
  </si>
  <si>
    <t>Facilitator; PM; sponsors</t>
  </si>
  <si>
    <t>Open risks / issues / dependencies</t>
  </si>
  <si>
    <t>04 Silver Field Treatment</t>
  </si>
  <si>
    <t>Work line-by-line through Bronze-to-Silver field treatment decisions</t>
  </si>
  <si>
    <t>Design</t>
  </si>
  <si>
    <t>Business SMEs; stewards; engineers</t>
  </si>
  <si>
    <t>Gold products defined</t>
  </si>
  <si>
    <t>05 Data Quality Rules</t>
  </si>
  <si>
    <t>Document validation and acceptability rules</t>
  </si>
  <si>
    <t>Stewards; analysts; QA</t>
  </si>
  <si>
    <t>06 Gold Product</t>
  </si>
  <si>
    <t>Define Gold purpose, grain, refresh, and ownership</t>
  </si>
  <si>
    <t>Follow-through</t>
  </si>
  <si>
    <t>Business owners; BI leads</t>
  </si>
  <si>
    <t>07 Access &amp; Sharing</t>
  </si>
  <si>
    <t>Track consumers, restrictions, and approvals</t>
  </si>
  <si>
    <t>Governance</t>
  </si>
  <si>
    <t>Owner; steward; security</t>
  </si>
  <si>
    <t>Workbook tab groups</t>
  </si>
  <si>
    <t>Editable source tabs</t>
  </si>
  <si>
    <t>Generated role-based tabs</t>
  </si>
  <si>
    <t>00–10</t>
  </si>
  <si>
    <t>Use these tabs to capture and maintain the source-of-truth content for the process.</t>
  </si>
  <si>
    <t>90–92</t>
  </si>
  <si>
    <t>Use these tabs as read-only audience outputs for sponsors, stewards, and implementers.</t>
  </si>
  <si>
    <t>Admin tab</t>
  </si>
  <si>
    <t>11 Lists</t>
  </si>
  <si>
    <t>Maintain dropdown values and workbook controls here. General participants usually should not edit this tab.</t>
  </si>
  <si>
    <t>Editable source tab. Use this tab to organize workshop sessions, clarify required participants, and make sure each session has a narrow objective and expected outputs.</t>
  </si>
  <si>
    <t>Session basics</t>
  </si>
  <si>
    <t>What the session must produce</t>
  </si>
  <si>
    <t>Session ID</t>
  </si>
  <si>
    <t>Workshop Date</t>
  </si>
  <si>
    <t>Domain / Source</t>
  </si>
  <si>
    <t>Session Objective</t>
  </si>
  <si>
    <t>Participants</t>
  </si>
  <si>
    <t>Pre-Reads / Inputs</t>
  </si>
  <si>
    <t>Key Decisions Needed</t>
  </si>
  <si>
    <t>Expected Outputs</t>
  </si>
  <si>
    <t>Facilitator</t>
  </si>
  <si>
    <t>Status</t>
  </si>
  <si>
    <t>Notes</t>
  </si>
  <si>
    <t>Unique identifier for the workshop or working session.</t>
  </si>
  <si>
    <t>Scheduled date.</t>
  </si>
  <si>
    <t>Primary domain, source, or subject area for the session.</t>
  </si>
  <si>
    <t>What the group must accomplish.</t>
  </si>
  <si>
    <t>Core attendees and required roles.</t>
  </si>
  <si>
    <t>Artifacts participants should review beforehand.</t>
  </si>
  <si>
    <t>Decisions that must be made in the session.</t>
  </si>
  <si>
    <t>Artifacts or updates expected from the session.</t>
  </si>
  <si>
    <t>Primary session lead.</t>
  </si>
  <si>
    <t>Planning status.</t>
  </si>
  <si>
    <t>Additional logistics or follow-up notes.</t>
  </si>
  <si>
    <t>WS-001</t>
  </si>
  <si>
    <t>2026-05-06</t>
  </si>
  <si>
    <t>Enterprise Licensing System</t>
  </si>
  <si>
    <t>Inventory source domains and establish treatment approach for high-priority entities</t>
  </si>
  <si>
    <t>Licensing owner; steward; BIT architect; security; vendor liaison</t>
  </si>
  <si>
    <t>Source inventory; Bronze intake; example template</t>
  </si>
  <si>
    <t>Authoritative source, target grain, scope of first transformation cycle</t>
  </si>
  <si>
    <t>Updated inventory, initial field treatment rows, open decision list</t>
  </si>
  <si>
    <t>Planned</t>
  </si>
  <si>
    <t>Editable source tab. Use this tab before field-level work begins. Capture enough information to prioritize sources, identify owners, and decide which sources are ready for line-by-line review.</t>
  </si>
  <si>
    <t>Ownership &amp; context</t>
  </si>
  <si>
    <t>Source profile</t>
  </si>
  <si>
    <t>Use, risk &amp; scope</t>
  </si>
  <si>
    <t>Source ID</t>
  </si>
  <si>
    <t>Source Name</t>
  </si>
  <si>
    <t>Program / Business Area</t>
  </si>
  <si>
    <t>Source Owner</t>
  </si>
  <si>
    <t>Business Steward</t>
  </si>
  <si>
    <t>Technical Contact</t>
  </si>
  <si>
    <t>Source Type</t>
  </si>
  <si>
    <t>System of Record?</t>
  </si>
  <si>
    <t>Primary Purpose</t>
  </si>
  <si>
    <t>Record Grain</t>
  </si>
  <si>
    <t>Approximate Record Volume</t>
  </si>
  <si>
    <t>Approximate Field Count</t>
  </si>
  <si>
    <t>Refresh Frequency</t>
  </si>
  <si>
    <t>Delivery Method</t>
  </si>
  <si>
    <t>Key Identifiers</t>
  </si>
  <si>
    <t>Sensitive / Regulated Data?</t>
  </si>
  <si>
    <t>Known Downstream Consumers</t>
  </si>
  <si>
    <t>Vendor Consumer?</t>
  </si>
  <si>
    <t>Priority</t>
  </si>
  <si>
    <t>Complexity</t>
  </si>
  <si>
    <t>In Scope for Current Effort?</t>
  </si>
  <si>
    <t>Unique short identifier for the source system or feed.</t>
  </si>
  <si>
    <t>Plain-language name of the source system, file, or feed.</t>
  </si>
  <si>
    <t>Agency program, bureau, or functional domain.</t>
  </si>
  <si>
    <t>Business owner accountable for the source.</t>
  </si>
  <si>
    <t>Primary steward or SME for definitions and quality.</t>
  </si>
  <si>
    <t>Technical lead or system contact.</t>
  </si>
  <si>
    <t>Application, database, API, file feed, SaaS, etc.</t>
  </si>
  <si>
    <t>Whether this source is authoritative for some domain or entity.</t>
  </si>
  <si>
    <t>Operational, reporting, exchange, analytics, regulatory, etc.</t>
  </si>
  <si>
    <t>What one row or record represents.</t>
  </si>
  <si>
    <t>Estimated number of records or files.</t>
  </si>
  <si>
    <t>Estimated count of candidate fields or variables.</t>
  </si>
  <si>
    <t>How often data arrives or changes.</t>
  </si>
  <si>
    <t>Batch file, API, stream, manual extract, replication, etc.</t>
  </si>
  <si>
    <t>Primary identifiers available in the source.</t>
  </si>
  <si>
    <t>Whether regulated or highly sensitive data is present.</t>
  </si>
  <si>
    <t>Who uses or expects to use the data.</t>
  </si>
  <si>
    <t>Whether a vendor is an expected consumer.</t>
  </si>
  <si>
    <t>Relative priority for the current effort.</t>
  </si>
  <si>
    <t>Relative complexity for transformation/governance work.</t>
  </si>
  <si>
    <t>Whether the source is in scope now.</t>
  </si>
  <si>
    <t>Important context, caveats, or assumptions.</t>
  </si>
  <si>
    <t>SRC-001</t>
  </si>
  <si>
    <t>Professional Licensing</t>
  </si>
  <si>
    <t>Licensing Director</t>
  </si>
  <si>
    <t>Licensing Program Steward</t>
  </si>
  <si>
    <t>BIT integration lead</t>
  </si>
  <si>
    <t>Application</t>
  </si>
  <si>
    <t>Yes</t>
  </si>
  <si>
    <t>Operational licensing and renewals</t>
  </si>
  <si>
    <t>One row per license record</t>
  </si>
  <si>
    <t>1.2M records</t>
  </si>
  <si>
    <t>900</t>
  </si>
  <si>
    <t>Daily</t>
  </si>
  <si>
    <t>Database extract</t>
  </si>
  <si>
    <t>License ID; Person ID</t>
  </si>
  <si>
    <t>Internal analytics; portal vendor</t>
  </si>
  <si>
    <t>High</t>
  </si>
  <si>
    <t>Large source with many status and history fields; likely requires phased review.</t>
  </si>
  <si>
    <t>SRC-002</t>
  </si>
  <si>
    <t>Grant Payments File</t>
  </si>
  <si>
    <t>Finance</t>
  </si>
  <si>
    <t>Chief Financial Officer</t>
  </si>
  <si>
    <t>Finance Steward</t>
  </si>
  <si>
    <t>ERP data engineer</t>
  </si>
  <si>
    <t>File feed</t>
  </si>
  <si>
    <t>No</t>
  </si>
  <si>
    <t>Disbursement and reconciliation</t>
  </si>
  <si>
    <t>One row per payment transaction</t>
  </si>
  <si>
    <t>250K records</t>
  </si>
  <si>
    <t>120</t>
  </si>
  <si>
    <t>Weekly</t>
  </si>
  <si>
    <t>Secure file transfer</t>
  </si>
  <si>
    <t>Payment ID; Vendor ID</t>
  </si>
  <si>
    <t>Finance analysts; auditors</t>
  </si>
  <si>
    <t>Medium</t>
  </si>
  <si>
    <t>Good candidate for early pilot because grain is clear.</t>
  </si>
  <si>
    <t>Editable source tab. Capture early scoping information. This tab is intentionally lighter than the field treatment workbook and supports progressive elaboration rather than full rule definition up front.</t>
  </si>
  <si>
    <t>Intake ID</t>
  </si>
  <si>
    <t>Target Silver Dataset</t>
  </si>
  <si>
    <t>Business Objective</t>
  </si>
  <si>
    <t>Schema Stability</t>
  </si>
  <si>
    <t>Dedup / Matching Needed?</t>
  </si>
  <si>
    <t>Historical Handling Needed?</t>
  </si>
  <si>
    <t>Sensitive Data Handling Needed?</t>
  </si>
  <si>
    <t>Owner</t>
  </si>
  <si>
    <t>INT-001</t>
  </si>
  <si>
    <t>license_master</t>
  </si>
  <si>
    <t>slv_licensing_license</t>
  </si>
  <si>
    <t>Moderate</t>
  </si>
  <si>
    <t>Data strategy lead</t>
  </si>
  <si>
    <t>In Progress</t>
  </si>
  <si>
    <t>INT-002</t>
  </si>
  <si>
    <t>payments_weekly.csv</t>
  </si>
  <si>
    <t>slv_finance_grant_payment</t>
  </si>
  <si>
    <t>Stable</t>
  </si>
  <si>
    <t>Finance steward</t>
  </si>
  <si>
    <t>Draft</t>
  </si>
  <si>
    <t>Editable source tab. Use this as a hybrid workshop + follow-through tab. The left side is business-first for live sessions. This tab specifically documents how fields move from Bronze into the Silver layer. Advanced technical details are pushed to the right so teams can progressively elaborate without losing workshop momentum.</t>
  </si>
  <si>
    <t>Source context</t>
  </si>
  <si>
    <t>Silver design</t>
  </si>
  <si>
    <t>Advanced detail</t>
  </si>
  <si>
    <t>Source Table / File</t>
  </si>
  <si>
    <t>Business Entity</t>
  </si>
  <si>
    <t>Source Field Name</t>
  </si>
  <si>
    <t>Source Field Label</t>
  </si>
  <si>
    <t>Source Definition</t>
  </si>
  <si>
    <t>Sample Values</t>
  </si>
  <si>
    <t>Required in Source?</t>
  </si>
  <si>
    <t>Null / Blank Behavior in Source</t>
  </si>
  <si>
    <t>Target Silver Table</t>
  </si>
  <si>
    <t>Target Silver Field Name</t>
  </si>
  <si>
    <t>Target Silver Definition</t>
  </si>
  <si>
    <t>Keep in Silver?</t>
  </si>
  <si>
    <t>Treatment Category</t>
  </si>
  <si>
    <t>Transformation Rule Summary</t>
  </si>
  <si>
    <t>Decision Status</t>
  </si>
  <si>
    <t>Owner / Reviewer</t>
  </si>
  <si>
    <t>Open Issue / Note</t>
  </si>
  <si>
    <t>Sensitive Classification</t>
  </si>
  <si>
    <t>Mask / Restrict Rule</t>
  </si>
  <si>
    <t>Consumer-Specific Only?</t>
  </si>
  <si>
    <t>Data Quality Rules Applied</t>
  </si>
  <si>
    <t>Source of Truth / Authority Note</t>
  </si>
  <si>
    <t>Source Data Type</t>
  </si>
  <si>
    <t>Source Format / Length</t>
  </si>
  <si>
    <t>Target Data Type</t>
  </si>
  <si>
    <t>Detailed Transformation Logic</t>
  </si>
  <si>
    <t>Reference Mapping Needed?</t>
  </si>
  <si>
    <t>Reference Table / Value Set</t>
  </si>
  <si>
    <t>Derived Field?</t>
  </si>
  <si>
    <t>Original field or variable name.</t>
  </si>
  <si>
    <t>Plain-language label if different from field name.</t>
  </si>
  <si>
    <t>Known source-side meaning or definition.</t>
  </si>
  <si>
    <t>Representative examples from the source.</t>
  </si>
  <si>
    <t>Whether the source expects this value.</t>
  </si>
  <si>
    <t>How missing or blank values appear in the source.</t>
  </si>
  <si>
    <t>Planned Silver table or object.</t>
  </si>
  <si>
    <t>Field name in Silver.</t>
  </si>
  <si>
    <t>Plain-language business definition in Silver.</t>
  </si>
  <si>
    <t>Whether this field belongs in Silver.</t>
  </si>
  <si>
    <t>High-level treatment decision for the field.</t>
  </si>
  <si>
    <t>Short description of the treatment.</t>
  </si>
  <si>
    <t>Current field-design status.</t>
  </si>
  <si>
    <t>Who must confirm the rule.</t>
  </si>
  <si>
    <t>Unresolved question or important note.</t>
  </si>
  <si>
    <t>Data sensitivity level.</t>
  </si>
  <si>
    <t>Any masking or restriction expectation.</t>
  </si>
  <si>
    <t>Whether a transformation belongs downstream instead of Silver.</t>
  </si>
  <si>
    <t>Applicable quality rule IDs or shorthand.</t>
  </si>
  <si>
    <t>Authority or survivorship note if relevant.</t>
  </si>
  <si>
    <t>Raw source data type.</t>
  </si>
  <si>
    <t>Source format, pattern, or length.</t>
  </si>
  <si>
    <t>Data type expected in Silver.</t>
  </si>
  <si>
    <t>Implementation-oriented logic or rule details.</t>
  </si>
  <si>
    <t>Whether a controlled list or lookup is required.</t>
  </si>
  <si>
    <t>Name of the reference or code set.</t>
  </si>
  <si>
    <t>Whether the target value is derived.</t>
  </si>
  <si>
    <t>License</t>
  </si>
  <si>
    <t>license_status</t>
  </si>
  <si>
    <t>License Status</t>
  </si>
  <si>
    <t>Current status recorded by licensing program</t>
  </si>
  <si>
    <t>ACTIVE; INACTIVE; LAPSED</t>
  </si>
  <si>
    <t>Blank when source process fails to set status</t>
  </si>
  <si>
    <t>license_status_code</t>
  </si>
  <si>
    <t>Normalized current license status</t>
  </si>
  <si>
    <t>Map</t>
  </si>
  <si>
    <t>Map source statuses to enterprise licensing status list</t>
  </si>
  <si>
    <t>Licensing steward</t>
  </si>
  <si>
    <t>Need decision on how to handle pending-renewal versus active.</t>
  </si>
  <si>
    <t>Internal</t>
  </si>
  <si>
    <t>None</t>
  </si>
  <si>
    <t>DQ-004</t>
  </si>
  <si>
    <t>Licensing source authoritative unless superseded by adjudication feed</t>
  </si>
  <si>
    <t>string</t>
  </si>
  <si>
    <t>varchar(20)</t>
  </si>
  <si>
    <t>Use reference map; preserve raw status in Bronze; route unknowns to review queue</t>
  </si>
  <si>
    <t>LIC_STATUS_MAP</t>
  </si>
  <si>
    <t>Grant Payment</t>
  </si>
  <si>
    <t>amount</t>
  </si>
  <si>
    <t>Payment Amount</t>
  </si>
  <si>
    <t>Dollar amount of payment transaction</t>
  </si>
  <si>
    <t>1250.00</t>
  </si>
  <si>
    <t>Null not expected</t>
  </si>
  <si>
    <t>payment_amount</t>
  </si>
  <si>
    <t>Payment amount in USD</t>
  </si>
  <si>
    <t>Validate</t>
  </si>
  <si>
    <t>Preserve numeric value and validate non-negative unless reversal indicator present</t>
  </si>
  <si>
    <t>Need rule for zero-dollar adjustment rows.</t>
  </si>
  <si>
    <t>Confidential</t>
  </si>
  <si>
    <t>DQ-007</t>
  </si>
  <si>
    <t>Finance file authoritative for disbursement amount</t>
  </si>
  <si>
    <t>decimal</t>
  </si>
  <si>
    <t>12,2</t>
  </si>
  <si>
    <t>decimal(12,2)</t>
  </si>
  <si>
    <t>Cast to decimal; if negative, require reversal reason flag</t>
  </si>
  <si>
    <t>Editable source tab. Use this tab to document what makes data acceptable. This tab is rule-centric, not field-centric. Link rule IDs back to the field treatment workbook where helpful.</t>
  </si>
  <si>
    <t>Rule definition</t>
  </si>
  <si>
    <t>Severity &amp; exception handling</t>
  </si>
  <si>
    <t>Ownership &amp; implementation</t>
  </si>
  <si>
    <t>Rule ID</t>
  </si>
  <si>
    <t>Rule Name</t>
  </si>
  <si>
    <t>Source / Dataset</t>
  </si>
  <si>
    <t>Target Layer</t>
  </si>
  <si>
    <t>Applies to Field(s)</t>
  </si>
  <si>
    <t>Rule Type</t>
  </si>
  <si>
    <t>Rule Description</t>
  </si>
  <si>
    <t>Severity</t>
  </si>
  <si>
    <t>Threshold / Tolerance</t>
  </si>
  <si>
    <t>Expected Behavior if Failed</t>
  </si>
  <si>
    <t>Exception Handling</t>
  </si>
  <si>
    <t>Business Rationale</t>
  </si>
  <si>
    <t>Implementation Status</t>
  </si>
  <si>
    <t>Monitoring Needed?</t>
  </si>
  <si>
    <t>Unique identifier for the data quality rule.</t>
  </si>
  <si>
    <t>Short name for the rule.</t>
  </si>
  <si>
    <t>Source or target dataset the rule applies to.</t>
  </si>
  <si>
    <t>Bronze, Silver, or Gold.</t>
  </si>
  <si>
    <t>Entity or domain the rule applies to.</t>
  </si>
  <si>
    <t>Field or fields covered by the rule.</t>
  </si>
  <si>
    <t>Type of validation or acceptability rule.</t>
  </si>
  <si>
    <t>Business-readable description of the rule.</t>
  </si>
  <si>
    <t>Criticality of a failure.</t>
  </si>
  <si>
    <t>Allowed tolerance before escalation.</t>
  </si>
  <si>
    <t>What happens when the rule fails.</t>
  </si>
  <si>
    <t>How exceptions are reviewed or approved.</t>
  </si>
  <si>
    <t>Why the rule matters.</t>
  </si>
  <si>
    <t>Who owns the rule.</t>
  </si>
  <si>
    <t>Current implementation status.</t>
  </si>
  <si>
    <t>Whether ongoing monitoring is expected.</t>
  </si>
  <si>
    <t>Additional implementation or stewardship notes.</t>
  </si>
  <si>
    <t>Normalize license status values</t>
  </si>
  <si>
    <t>Silver</t>
  </si>
  <si>
    <t>Allowed Value</t>
  </si>
  <si>
    <t>Target status must be one of the approved enterprise licensing status values.</t>
  </si>
  <si>
    <t>0 unapproved values in published Silver dataset</t>
  </si>
  <si>
    <t>Reject or quarantine rows with unrecognized mapped value until reviewed.</t>
  </si>
  <si>
    <t>Steward may approve temporary mapping additions through decision log.</t>
  </si>
  <si>
    <t>Prevents inconsistent status interpretation across consumers.</t>
  </si>
  <si>
    <t>Reference map should be versioned and reviewed.</t>
  </si>
  <si>
    <t>Payment amount sign rule</t>
  </si>
  <si>
    <t>payment_amount; reversal_flag</t>
  </si>
  <si>
    <t>Cross-Field Consistency</t>
  </si>
  <si>
    <t>Negative payment amounts are only allowed when reversal_flag = Yes.</t>
  </si>
  <si>
    <t>0 invalid negative amounts</t>
  </si>
  <si>
    <t>Block publish to Silver review set until resolved.</t>
  </si>
  <si>
    <t>Finance steward and engineering lead review exceptions.</t>
  </si>
  <si>
    <t>Protects downstream financial reporting accuracy.</t>
  </si>
  <si>
    <t>Not Started</t>
  </si>
  <si>
    <t>Need agreement on zero-dollar adjustment handling.</t>
  </si>
  <si>
    <t>Editable source tab. Use this tab to define analytics-ready or product-oriented outputs. Gold should have a clear purpose, grain, refresh expectation, ownership model, and access expectation.</t>
  </si>
  <si>
    <t>Product framing</t>
  </si>
  <si>
    <t>Service expectations</t>
  </si>
  <si>
    <t>Ownership &amp; governance</t>
  </si>
  <si>
    <t>Readiness &amp; notes</t>
  </si>
  <si>
    <t>Product ID</t>
  </si>
  <si>
    <t>Gold Product Name</t>
  </si>
  <si>
    <t>Business Purpose</t>
  </si>
  <si>
    <t>Primary Consumers</t>
  </si>
  <si>
    <t>Source Silver Dataset(s)</t>
  </si>
  <si>
    <t>Key Measures / Dimensions</t>
  </si>
  <si>
    <t>Latency / SLA Expectation</t>
  </si>
  <si>
    <t>Access Method</t>
  </si>
  <si>
    <t>Data Owner</t>
  </si>
  <si>
    <t>Data Steward</t>
  </si>
  <si>
    <t>Data Custodian</t>
  </si>
  <si>
    <t>Data Contract Needed?</t>
  </si>
  <si>
    <t>Definition of Done</t>
  </si>
  <si>
    <t>Unique identifier for the Gold data product.</t>
  </si>
  <si>
    <t>Plain-language name of the Gold dataset or product.</t>
  </si>
  <si>
    <t>Why the product exists and what decision or service it supports.</t>
  </si>
  <si>
    <t>Who will use the product.</t>
  </si>
  <si>
    <t>Silver datasets that feed the product.</t>
  </si>
  <si>
    <t>What one row in the product represents.</t>
  </si>
  <si>
    <t>Main measures, dimensions, or subject areas included.</t>
  </si>
  <si>
    <t>Expected refresh cadence.</t>
  </si>
  <si>
    <t>Timing expectation for delivery or freshness.</t>
  </si>
  <si>
    <t>How consumers will receive or use the product.</t>
  </si>
  <si>
    <t>Business owner for the product.</t>
  </si>
  <si>
    <t>Steward for definitions, quality, and changes.</t>
  </si>
  <si>
    <t>Technical custodian or platform lead.</t>
  </si>
  <si>
    <t>Sensitivity level of the product.</t>
  </si>
  <si>
    <t>Whether a formal contract should be defined.</t>
  </si>
  <si>
    <t>What must be true for the product to be considered ready.</t>
  </si>
  <si>
    <t>Current lifecycle status.</t>
  </si>
  <si>
    <t>Additional implementation or governance notes.</t>
  </si>
  <si>
    <t>GLD-001</t>
  </si>
  <si>
    <t>Licensing Operations Summary</t>
  </si>
  <si>
    <t>Provide a reusable monthly and weekly view of license counts and status trends for operations and portal planning.</t>
  </si>
  <si>
    <t>Licensing leadership; portal vendor; executive dashboard</t>
  </si>
  <si>
    <t>One row per license per reporting period</t>
  </si>
  <si>
    <t>Counts by status, profession, geography, renewal cycle</t>
  </si>
  <si>
    <t>Available by 7 a.m. each business day</t>
  </si>
  <si>
    <t>View</t>
  </si>
  <si>
    <t>BIT data platform lead</t>
  </si>
  <si>
    <t>Business-approved definitions, refreshed on schedule, access approved, and key DQ rules monitored.</t>
  </si>
  <si>
    <t>Vendor extract should be downstream from this product, not the design center for Silver.</t>
  </si>
  <si>
    <t>Editable source tab. Make sharing expectations visible early. Use this tab to document who needs access, to which layer, for what purpose, and with what restrictions or approvals.</t>
  </si>
  <si>
    <t>Consumer request</t>
  </si>
  <si>
    <t>Scope &amp; controls</t>
  </si>
  <si>
    <t>Decision &amp; review</t>
  </si>
  <si>
    <t>Dataset / Product</t>
  </si>
  <si>
    <t>Layer</t>
  </si>
  <si>
    <t>Consumer Group</t>
  </si>
  <si>
    <t>Minimum Necessary Scope</t>
  </si>
  <si>
    <t>Row / Column Restrictions</t>
  </si>
  <si>
    <t>De-identification Needed?</t>
  </si>
  <si>
    <t>Approval Required From</t>
  </si>
  <si>
    <t>DUA / DSA / Contract Needed?</t>
  </si>
  <si>
    <t>Access Decision</t>
  </si>
  <si>
    <t>Expiration / Review Date</t>
  </si>
  <si>
    <t>Dataset or product for which access is being considered.</t>
  </si>
  <si>
    <t>Team, role, vendor, or application requesting access.</t>
  </si>
  <si>
    <t>Why access is needed.</t>
  </si>
  <si>
    <t>Direct table, view, extract, API, BI tool, etc.</t>
  </si>
  <si>
    <t>Subset or scope actually needed.</t>
  </si>
  <si>
    <t>Any row-level, column-level, or field-level restrictions.</t>
  </si>
  <si>
    <t>Whether masking or de-identification is required.</t>
  </si>
  <si>
    <t>Who must approve the access.</t>
  </si>
  <si>
    <t>Whether a sharing or access agreement is required.</t>
  </si>
  <si>
    <t>Current access decision status.</t>
  </si>
  <si>
    <t>When access should be re-reviewed.</t>
  </si>
  <si>
    <t>Additional sharing or restriction notes.</t>
  </si>
  <si>
    <t>Portal Vendor</t>
  </si>
  <si>
    <t>Support portal display of active licenses only</t>
  </si>
  <si>
    <t>Curated extract</t>
  </si>
  <si>
    <t>Active licenses and approved public fields</t>
  </si>
  <si>
    <t>Exclude sensitive internal notes and historical disciplinary comments</t>
  </si>
  <si>
    <t>Data owner; security; privacy</t>
  </si>
  <si>
    <t>Requested</t>
  </si>
  <si>
    <t>2026-12-31</t>
  </si>
  <si>
    <t>Prefer curated downstream extract instead of broad Silver access.</t>
  </si>
  <si>
    <t>08 Roles</t>
  </si>
  <si>
    <t>Editable source tab. Clarify owner, steward, custodian, SME, and reviewer responsibilities. This tab helps keep workshops from becoming discussions without decision rights.</t>
  </si>
  <si>
    <t>Role assignment</t>
  </si>
  <si>
    <t>Responsibility &amp; authority</t>
  </si>
  <si>
    <t>Tracking</t>
  </si>
  <si>
    <t>Role Type</t>
  </si>
  <si>
    <t>Person / Group</t>
  </si>
  <si>
    <t>Responsibilities</t>
  </si>
  <si>
    <t>Decision Rights</t>
  </si>
  <si>
    <t>Escalation Path</t>
  </si>
  <si>
    <t>Domain, source, or dataset context.</t>
  </si>
  <si>
    <t>Specific dataset or product.</t>
  </si>
  <si>
    <t>Owner, steward, custodian, SME, etc.</t>
  </si>
  <si>
    <t>Named person, office, or team.</t>
  </si>
  <si>
    <t>Core responsibilities for the role.</t>
  </si>
  <si>
    <t>What the role can approve or decide.</t>
  </si>
  <si>
    <t>Who or what forum resolves disputes.</t>
  </si>
  <si>
    <t>Current assignment status.</t>
  </si>
  <si>
    <t>Additional accountability notes.</t>
  </si>
  <si>
    <t>Licensing</t>
  </si>
  <si>
    <t>Approves business purpose, access, and major structural decisions.</t>
  </si>
  <si>
    <t>Approves Gold product purpose and sensitive-access decisions.</t>
  </si>
  <si>
    <t>Escalate unresolved cross-domain questions to enterprise governance forum.</t>
  </si>
  <si>
    <t>Confirmed</t>
  </si>
  <si>
    <t>Could delegate day-to-day review to program manager while retaining decision authority.</t>
  </si>
  <si>
    <t>Defines business meaning, mappings, and quality expectations.</t>
  </si>
  <si>
    <t>Approves field definitions and code mappings.</t>
  </si>
  <si>
    <t>Escalate unresolved policy questions to data owner and governance lead.</t>
  </si>
  <si>
    <t>Primary reviewer for status, profession, and renewal fields.</t>
  </si>
  <si>
    <t>09 Decisions</t>
  </si>
  <si>
    <t>Editable source tab. Use this tab for cross-cutting decisions and rationale that should not be buried inside a single field row. Reference decision IDs back into other tabs where helpful.</t>
  </si>
  <si>
    <t>Decision framing</t>
  </si>
  <si>
    <t>Reasoning &amp; impact</t>
  </si>
  <si>
    <t>Decision ID</t>
  </si>
  <si>
    <t>Date Raised</t>
  </si>
  <si>
    <t>Topic</t>
  </si>
  <si>
    <t>Scope</t>
  </si>
  <si>
    <t>Decision Statement</t>
  </si>
  <si>
    <t>Options Considered</t>
  </si>
  <si>
    <t>Rationale</t>
  </si>
  <si>
    <t>Decision Maker</t>
  </si>
  <si>
    <t>Effective Date</t>
  </si>
  <si>
    <t>Affected Artifact</t>
  </si>
  <si>
    <t>Affected Source(s)</t>
  </si>
  <si>
    <t>Follow-Up Action</t>
  </si>
  <si>
    <t>Action Owner</t>
  </si>
  <si>
    <t>Due Date</t>
  </si>
  <si>
    <t>Unique identifier for the decision.</t>
  </si>
  <si>
    <t>Date the decision was first raised.</t>
  </si>
  <si>
    <t>Short topic name.</t>
  </si>
  <si>
    <t>Source, domain, or dataset in scope.</t>
  </si>
  <si>
    <t>What was decided or what requires approval.</t>
  </si>
  <si>
    <t>Main options considered.</t>
  </si>
  <si>
    <t>Why the chosen path was selected.</t>
  </si>
  <si>
    <t>Approver or decision-making body.</t>
  </si>
  <si>
    <t>When the decision takes effect.</t>
  </si>
  <si>
    <t>Workbook tab, standard, mapping, contract, or implementation artifact affected.</t>
  </si>
  <si>
    <t>Source systems or datasets affected.</t>
  </si>
  <si>
    <t>What must happen next because of the decision.</t>
  </si>
  <si>
    <t>Person responsible for follow-up.</t>
  </si>
  <si>
    <t>Target date for follow-up.</t>
  </si>
  <si>
    <t>Open, approved, deferred, etc.</t>
  </si>
  <si>
    <t>Additional context or exceptions.</t>
  </si>
  <si>
    <t>DEC-001</t>
  </si>
  <si>
    <t>Vendor access design</t>
  </si>
  <si>
    <t>Silver will be designed for enterprise reuse first; vendor-specific shaping will occur through downstream curated extracts or Gold products.</t>
  </si>
  <si>
    <t>Direct Silver access; curated extract; vendor-specific Silver branch</t>
  </si>
  <si>
    <t>Protects long-term maintainability and avoids shaping Silver around a single consumer.</t>
  </si>
  <si>
    <t>Access &amp; Sharing; Gold Data Product; Field Treatment</t>
  </si>
  <si>
    <t>Define vendor extract scope and approval path.</t>
  </si>
  <si>
    <t>2026-05-20</t>
  </si>
  <si>
    <t>Open</t>
  </si>
  <si>
    <t>Confirm whether any public fields can be served directly from Gold view.</t>
  </si>
  <si>
    <t>10 RAID Log</t>
  </si>
  <si>
    <t>Editable source tab. Track risks, issues, dependencies, and follow-up actions separately from decisions. This tab supports workshop management and implementation follow-through.</t>
  </si>
  <si>
    <t>Item framing</t>
  </si>
  <si>
    <t>Impact &amp; response</t>
  </si>
  <si>
    <t>Ownership &amp; tracking</t>
  </si>
  <si>
    <t>RAID ID</t>
  </si>
  <si>
    <t>Type</t>
  </si>
  <si>
    <t>Source / Domain</t>
  </si>
  <si>
    <t>Description</t>
  </si>
  <si>
    <t>Impact</t>
  </si>
  <si>
    <t>Likelihood</t>
  </si>
  <si>
    <t>Mitigation / Next Step</t>
  </si>
  <si>
    <t>Unique identifier for the log entry.</t>
  </si>
  <si>
    <t>Risk, issue, dependency, or action.</t>
  </si>
  <si>
    <t>Date the item was logged.</t>
  </si>
  <si>
    <t>Affected source, dataset, or domain.</t>
  </si>
  <si>
    <t>Plain-language description of the item.</t>
  </si>
  <si>
    <t>Why it matters.</t>
  </si>
  <si>
    <t>High, medium, low, if applicable.</t>
  </si>
  <si>
    <t>Planned response or action.</t>
  </si>
  <si>
    <t>Person accountable for follow-up.</t>
  </si>
  <si>
    <t>Current status.</t>
  </si>
  <si>
    <t>Target resolution or review date.</t>
  </si>
  <si>
    <t>Additional detail.</t>
  </si>
  <si>
    <t>RAID-001</t>
  </si>
  <si>
    <t>Risk</t>
  </si>
  <si>
    <t>One source contains roughly 900 variables, which could overwhelm the first workshop if the team tries to define every field in one session.</t>
  </si>
  <si>
    <t>Could stall momentum and produce low-quality decisions.</t>
  </si>
  <si>
    <t>Prioritize highest-value entities and establish repeatable treatment patterns before broad line-by-line review.</t>
  </si>
  <si>
    <t>2026-05-13</t>
  </si>
  <si>
    <t>Use workshop plan to sequence follow-on sessions.</t>
  </si>
  <si>
    <t>RAID-002</t>
  </si>
  <si>
    <t>Dependency</t>
  </si>
  <si>
    <t>Chart-of-accounts reference list is not yet confirmed.</t>
  </si>
  <si>
    <t>Mapping and validation cannot be finalized until reference data is approved.</t>
  </si>
  <si>
    <t>Escalate to finance steward and CFO office for confirmation.</t>
  </si>
  <si>
    <t>2026-05-15</t>
  </si>
  <si>
    <t>Link to decision log if policy choice is required.</t>
  </si>
  <si>
    <t>Admin tab. Maintain controlled values used by dropdowns and generated views. General participants should not need to edit this tab.</t>
  </si>
  <si>
    <t>Yes / No</t>
  </si>
  <si>
    <t>RAID Type</t>
  </si>
  <si>
    <t>Pass-through</t>
  </si>
  <si>
    <t>Public</t>
  </si>
  <si>
    <t>Bronze</t>
  </si>
  <si>
    <t>Direct table access</t>
  </si>
  <si>
    <t>Standardize</t>
  </si>
  <si>
    <t>Format</t>
  </si>
  <si>
    <t>Issue</t>
  </si>
  <si>
    <t>Approved</t>
  </si>
  <si>
    <t>Low</t>
  </si>
  <si>
    <t>Blocked</t>
  </si>
  <si>
    <t>Gold</t>
  </si>
  <si>
    <t>Approved with Restrictions</t>
  </si>
  <si>
    <t>Restricted</t>
  </si>
  <si>
    <t>Range</t>
  </si>
  <si>
    <t>Business SME</t>
  </si>
  <si>
    <t>Action</t>
  </si>
  <si>
    <t>Dashboard / BI tool</t>
  </si>
  <si>
    <t>Denied</t>
  </si>
  <si>
    <t>Derive</t>
  </si>
  <si>
    <t>Regulated / Sensitive</t>
  </si>
  <si>
    <t>Uniqueness</t>
  </si>
  <si>
    <t>Technical Lead</t>
  </si>
  <si>
    <t>API</t>
  </si>
  <si>
    <t>Expired</t>
  </si>
  <si>
    <t>Ready for Review</t>
  </si>
  <si>
    <t>Enrich</t>
  </si>
  <si>
    <t>Referential Integrity</t>
  </si>
  <si>
    <t>Privacy / Security Reviewer</t>
  </si>
  <si>
    <t>Restrict</t>
  </si>
  <si>
    <t>Timeliness</t>
  </si>
  <si>
    <t>Implementation Partner</t>
  </si>
  <si>
    <t>Closed</t>
  </si>
  <si>
    <t>Exclude</t>
  </si>
  <si>
    <t>Deferred</t>
  </si>
  <si>
    <t>Duplicate Detection</t>
  </si>
  <si>
    <t>Business Logic</t>
  </si>
  <si>
    <t>Anomaly / Variance</t>
  </si>
  <si>
    <t>90 Facilitator &amp; Sponsor View</t>
  </si>
  <si>
    <t>Generated role-based view — do not edit. Generated view — do not edit. This tab gives sponsors and facilitators a concise summary of scope, progress, open decisions, and open RAID items. Update source tabs and refresh the workbook instead of editing this view directly.</t>
  </si>
  <si>
    <t>Scope &amp; progress</t>
  </si>
  <si>
    <t>Program / Area</t>
  </si>
  <si>
    <t>In Scope?</t>
  </si>
  <si>
    <t>Bronze Status</t>
  </si>
  <si>
    <t>Open RAID items</t>
  </si>
  <si>
    <t>91 Data Steward View</t>
  </si>
  <si>
    <t>Generated role-based view — do not edit. Generated view — do not edit. This steward-focused view pulls the business-facing Silver treatment, quality, and governance columns from the core source tabs. Update the source tabs and refresh the workbook instead of editing this view directly.</t>
  </si>
  <si>
    <t>Target Silver Field</t>
  </si>
  <si>
    <t>Data Quality Rules</t>
  </si>
  <si>
    <t>92 Databricks Implementer View</t>
  </si>
  <si>
    <t>Generated role-based view — do not edit. Generated view — do not edit. This implementation-focused view emphasizes source-to-Silver mapping, transformation logic, data quality references, and Bronze intake assumptions for the Databricks build team.</t>
  </si>
  <si>
    <t>Bronze Landing Method</t>
  </si>
  <si>
    <t>Sponsor; stewards; architects</t>
  </si>
  <si>
    <t>BIT</t>
  </si>
  <si>
    <t>Do not expect to review all data in one afternoon; focus on patterns and highest-value areas.</t>
  </si>
  <si>
    <t>Department of Finance</t>
  </si>
  <si>
    <t>Bronze Dataset / Object Name</t>
  </si>
  <si>
    <t>Landing Frequency</t>
  </si>
  <si>
    <t>Source Format</t>
  </si>
  <si>
    <t>Primary Identifiers Present</t>
  </si>
  <si>
    <t>Raw Lineage / Load Metadata Captured?</t>
  </si>
  <si>
    <t>Retention Expectation</t>
  </si>
  <si>
    <t>Sensitive Data Present?</t>
  </si>
  <si>
    <t>Bronze Access Constraints</t>
  </si>
  <si>
    <t>Data Quality Concerns Observed at Intake</t>
  </si>
  <si>
    <t>In Scope This Cycle?</t>
  </si>
  <si>
    <t>Unique identifier for the Bronze intake record.</t>
  </si>
  <si>
    <t>Plain-language name of the source system, feed, or file.</t>
  </si>
  <si>
    <t>Agency program, bureau, or functional domain associated with the source.</t>
  </si>
  <si>
    <t>Why this source is being onboarded or reviewed.</t>
  </si>
  <si>
    <t>Type of source, such as application, database, API, flat file, SaaS export, or event stream.</t>
  </si>
  <si>
    <t>Expected cadence of Bronze ingestion, such as daily, weekly, monthly, near real-time, or on demand.</t>
  </si>
  <si>
    <t>Format of the source payload, such as CSV, JSON, XML, Parquet, relational table, Excel, or API response.</t>
  </si>
  <si>
    <t>How stable the incoming structure is over time and how often schema changes are expected.</t>
  </si>
  <si>
    <t>Key identifiers available in the raw source at intake.</t>
  </si>
  <si>
    <t>What one raw source row or record represents in Bronze.</t>
  </si>
  <si>
    <t>Whether Bronze captures load timestamp, source filename, extract date, source system metadata, or other lineage details.</t>
  </si>
  <si>
    <t>Expected retention period or archive expectation for Bronze data.</t>
  </si>
  <si>
    <t>Whether the raw source contains confidential, restricted, or regulated information.</t>
  </si>
  <si>
    <t>Constraints on who can access the Bronze landing zone or raw dataset.</t>
  </si>
  <si>
    <t>Known issues visible before Silver design begins, such as null-heavy fields, malformed values, or unstable extracts.</t>
  </si>
  <si>
    <t>Whether this Bronze dataset is in scope for the current design or delivery cycle.</t>
  </si>
  <si>
    <t>Accountable business or delivery owner for intake and progression.</t>
  </si>
  <si>
    <t>Current intake status.</t>
  </si>
  <si>
    <t>Additional intake notes, assumptions, or caveats.</t>
  </si>
  <si>
    <t>Standardize raw licensing source for enterprise reuse</t>
  </si>
  <si>
    <t>Daily extract landed unchanged with load timestamp</t>
  </si>
  <si>
    <t>CSV</t>
  </si>
  <si>
    <t>license_id; person_id</t>
  </si>
  <si>
    <t>7 years</t>
  </si>
  <si>
    <t>Restricted to implementation team and approved stewards</t>
  </si>
  <si>
    <t>Status field is inconsistently populated in some extracts</t>
  </si>
  <si>
    <t>Ready for Silver Design</t>
  </si>
  <si>
    <t>Source contains active and historical records</t>
  </si>
  <si>
    <t>Prepare grant payment data for enterprise reporting and external extracts</t>
  </si>
  <si>
    <t>File Feed</t>
  </si>
  <si>
    <t>Weekly file landed unchanged with source filename and load date</t>
  </si>
  <si>
    <t>payment_id; grant_id; recipient_id</t>
  </si>
  <si>
    <t>Restricted to finance delivery and approved stewards</t>
  </si>
  <si>
    <t>Adjustment rows may use zero-dollar amounts; funding codes occasionally drift</t>
  </si>
  <si>
    <t>In Review</t>
  </si>
  <si>
    <t>History tracking expected only in downstream Silver if needed for audit trends</t>
  </si>
  <si>
    <t>Bronze Intake</t>
  </si>
  <si>
    <t>Readiness &amp; Controls</t>
  </si>
  <si>
    <t>Proposed method for how the source will land in Bronze, including batch file, replication, API pull, streaming, or manual delivery.</t>
  </si>
  <si>
    <t>Proposed Bronze Landing Method</t>
  </si>
  <si>
    <t>Status - Bronze</t>
  </si>
  <si>
    <t>Near real-time</t>
  </si>
  <si>
    <t>Hourly</t>
  </si>
  <si>
    <t>Monthly</t>
  </si>
  <si>
    <t>Quarterly</t>
  </si>
  <si>
    <t>On demand</t>
  </si>
  <si>
    <t>Other</t>
  </si>
  <si>
    <t>Database</t>
  </si>
  <si>
    <t>SaaS Export</t>
  </si>
  <si>
    <t>Spreadsheet</t>
  </si>
  <si>
    <t>Event Stream</t>
  </si>
  <si>
    <t>04A Silver Dataset Design</t>
  </si>
  <si>
    <t>Silver Design ID</t>
  </si>
  <si>
    <t>Target Silver Table / View Name</t>
  </si>
  <si>
    <t>Silver Purpose</t>
  </si>
  <si>
    <t>Target Grain</t>
  </si>
  <si>
    <t>Source Inputs Included</t>
  </si>
  <si>
    <t>Split Needed?</t>
  </si>
  <si>
    <t>Merge / Join Needed?</t>
  </si>
  <si>
    <t>Major Transformation Patterns</t>
  </si>
  <si>
    <t>Major Reference Data Needed</t>
  </si>
  <si>
    <t>Sensitive Data Controls</t>
  </si>
  <si>
    <t>Vendor / External Use Expected?</t>
  </si>
  <si>
    <t>Steward</t>
  </si>
  <si>
    <t>Unique identifier for the Silver dataset design record.</t>
  </si>
  <si>
    <t>Source system or feed contributing to the Silver dataset.</t>
  </si>
  <si>
    <t>Plain-language name of the Silver dataset or subject area.</t>
  </si>
  <si>
    <t>Planned physical or logical Silver object name.</t>
  </si>
  <si>
    <t>Why this Silver dataset exists and what reusable need it supports.</t>
  </si>
  <si>
    <t>What one row in the Silver dataset will represent.</t>
  </si>
  <si>
    <t>Main Bronze inputs or related datasets feeding this Silver object.</t>
  </si>
  <si>
    <t>Whether one Bronze dataset will be split into multiple Silver targets.</t>
  </si>
  <si>
    <t>Whether multiple inputs must be combined to produce the Silver target.</t>
  </si>
  <si>
    <t>High-level transformation approach, such as standardize codes, normalize status, derive dates, flatten nested structures, or conform identifiers.</t>
  </si>
  <si>
    <t>High-level reference tables, code sets, or lookup structures needed for the Silver design.</t>
  </si>
  <si>
    <t>High-level masking, restriction, de-identification, or segregation approach expected in Silver.</t>
  </si>
  <si>
    <t>Main internal or downstream users of the Silver dataset.</t>
  </si>
  <si>
    <t>Whether the Silver dataset or its downstream outputs will support vendor or external use.</t>
  </si>
  <si>
    <t>Whether this Silver design item is included in the current phase.</t>
  </si>
  <si>
    <t>Accountable owner for the Silver design.</t>
  </si>
  <si>
    <t>Steward or business lead responsible for definitions and review.</t>
  </si>
  <si>
    <t>Current design status.</t>
  </si>
  <si>
    <t>Additional design notes, assumptions, or unresolved questions.</t>
  </si>
  <si>
    <t>SD-001</t>
  </si>
  <si>
    <t>Licensing License Silver</t>
  </si>
  <si>
    <t>Create a reusable enterprise license table with standardized status, dates, and identifiers</t>
  </si>
  <si>
    <t>One row per current license</t>
  </si>
  <si>
    <t>license_master; licensing status reference</t>
  </si>
  <si>
    <t>Standardize status codes, normalize dates, carry forward enterprise identifiers</t>
  </si>
  <si>
    <t>Licensing status reference list</t>
  </si>
  <si>
    <t>Restrict internal notes; exclude fields not needed for Silver reuse</t>
  </si>
  <si>
    <t>Operations reporting; vendor extract process; BI</t>
  </si>
  <si>
    <t>Licensing Steward</t>
  </si>
  <si>
    <t>Historical disciplinary detail may move to a separate Silver object later</t>
  </si>
  <si>
    <t>SD-002</t>
  </si>
  <si>
    <t>Grant Payment Silver</t>
  </si>
  <si>
    <t>Create a reusable payment-level Silver dataset for finance reporting and controlled external extracts</t>
  </si>
  <si>
    <t>payments_weekly.csv; funding code reference</t>
  </si>
  <si>
    <t>Validate amounts, standardize funding codes, normalize dates and recipient identifiers</t>
  </si>
  <si>
    <t>Funding code reference list</t>
  </si>
  <si>
    <t>Restrict internal comments and bank-routing-related fields</t>
  </si>
  <si>
    <t>Finance reporting; external extract process; BI</t>
  </si>
  <si>
    <t>Potential future join to grant master dataset for richer conformed reporting</t>
  </si>
  <si>
    <t>Editable source tab. Define the general Silver-layer dataset structure, target grain, source inputs, and major design patterns before field-level treatment begins.</t>
  </si>
  <si>
    <t>Source Dataset/Object Name</t>
  </si>
  <si>
    <t>The name of the landed object in the Bronze layer after it is brought into the platform, using the Bronze naming convention if one exists.</t>
  </si>
  <si>
    <t>The original file, table, API object, extract, or source-side dataset name as it exists in the upstream source system.</t>
  </si>
  <si>
    <t>brz_licensing_license_master</t>
  </si>
  <si>
    <t>brz_finance_payments_weekly</t>
  </si>
  <si>
    <t>Core business concept represented for this dataset, such as person, license, case, payment, asset, encounter, or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</si>
</sst>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7" x14ac:knownFonts="1">
    <font>
      <sz val="11"/>
      <color theme="1"/>
      <name val="Aptos Narrow"/>
    </font>
    <font>
      <b/>
      <sz val="10"/>
      <color rgb="FFFFFFFF"/>
      <name val="Calibri"/>
    </font>
    <font>
      <sz val="10"/>
      <color rgb="FF000000"/>
      <name val="Calibri"/>
    </font>
    <font>
      <i/>
      <sz val="9"/>
      <color rgb="FF1F2933"/>
      <name val="Calibri"/>
    </font>
    <font>
      <b/>
      <sz val="14"/>
      <color rgb="FFFFFFFF"/>
      <name val="Aptos"/>
    </font>
    <font>
      <i/>
      <sz val="11"/>
      <color rgb="FF23313A"/>
      <name val="Aptos"/>
    </font>
    <font>
      <b/>
      <sz val="10"/>
      <color rgb="FFFFFFFF"/>
      <name val="Aptos"/>
    </font>
    <font>
      <b/>
      <i/>
      <sz val="10"/>
      <color rgb="FF23313A"/>
      <name val="Aptos"/>
    </font>
    <font>
      <b/>
      <sz val="10"/>
      <color rgb="FF23313A"/>
      <name val="Aptos"/>
    </font>
    <font>
      <b/>
      <i/>
      <sz val="12"/>
      <color rgb="FF0C5A67"/>
      <name val="Aptos"/>
    </font>
    <font>
      <b/>
      <sz val="12"/>
      <color rgb="FF0C5A67"/>
      <name val="Aptos"/>
    </font>
    <font>
      <sz val="10"/>
      <color rgb="FF23313A"/>
      <name val="Aptos"/>
    </font>
    <font>
      <i/>
      <sz val="10"/>
      <color rgb="FF23313A"/>
      <name val="Aptos"/>
    </font>
    <font>
      <i/>
      <sz val="9"/>
      <color rgb="FF42515A"/>
      <name val="Aptos"/>
    </font>
    <font>
      <b/>
      <sz val="11"/>
      <color rgb="FF1F1F1F"/>
      <name val="Aptos Narrow"/>
    </font>
    <font>
      <sz val="10"/>
      <color rgb="FF1F1F1F"/>
      <name val="Aptos Narrow"/>
    </font>
    <font>
      <sz val="10"/>
      <color rgb="FF1F1F1F"/>
      <name val="Calibri"/>
    </font>
    <font>
      <b/>
      <sz val="10"/>
      <color rgb="FFFFFFFF"/>
      <name val="Aptos Narrow"/>
    </font>
    <font>
      <b/>
      <sz val="10"/>
      <color rgb="FF1F1F1F"/>
      <name val="Aptos Narrow"/>
    </font>
    <font>
      <b/>
      <sz val="11"/>
      <color rgb="FF1F1F1F"/>
      <name val="Aptos"/>
    </font>
    <font>
      <b/>
      <sz val="10"/>
      <color rgb="FF1F1F1F"/>
      <name val="Calibri"/>
    </font>
    <font>
      <b/>
      <sz val="12"/>
      <color rgb="FFFFFFFF"/>
      <name val="Aptos Narrow"/>
    </font>
    <font>
      <sz val="10"/>
      <color rgb="FF1F2933"/>
      <name val="Aptos Narrow"/>
    </font>
    <font>
      <b/>
      <sz val="10"/>
      <color rgb="FF1F2933"/>
      <name val="Aptos Narrow"/>
    </font>
    <font>
      <b/>
      <sz val="11"/>
      <color rgb="FFFFFFFF"/>
      <name val="Aptos Narrow"/>
    </font>
    <font>
      <sz val="10"/>
      <color rgb="FF23313A"/>
      <name val="Aptos"/>
      <family val="2"/>
    </font>
    <font>
      <b/>
      <sz val="10"/>
      <color rgb="FF1F2933"/>
      <name val="Aptos Narrow"/>
      <family val="2"/>
    </font>
    <font>
      <sz val="10"/>
      <color rgb="FF000000"/>
      <name val="Calibri"/>
      <family val="2"/>
    </font>
    <font>
      <b/>
      <sz val="10"/>
      <color theme="0"/>
      <name val="Aptos Narrow"/>
      <family val="2"/>
    </font>
    <font>
      <i/>
      <sz val="9"/>
      <color rgb="FF1F2933"/>
      <name val="Aptos"/>
    </font>
    <font>
      <sz val="10"/>
      <color rgb="FF1F2933"/>
      <name val="Aptos"/>
    </font>
    <font>
      <b/>
      <sz val="10"/>
      <color rgb="FF1F2933"/>
      <name val="Aptos"/>
      <family val="2"/>
    </font>
    <font>
      <i/>
      <sz val="9"/>
      <color rgb="FF1F2933"/>
      <name val="Aptos"/>
      <family val="2"/>
    </font>
    <font>
      <sz val="10"/>
      <color rgb="FF1F2933"/>
      <name val="Aptos"/>
      <family val="2"/>
    </font>
    <font>
      <b/>
      <sz val="12"/>
      <color rgb="FFFFFFFF"/>
      <name val="Aptos Narrow"/>
      <family val="2"/>
    </font>
    <font>
      <sz val="8"/>
      <name val="Aptos Narrow"/>
      <family val="2"/>
    </font>
    <font>
      <sz val="10"/>
      <color rgb="FF1F2933"/>
      <name val="Aptos Narrow"/>
      <family val="2"/>
    </font>
  </fonts>
  <fills count="27">
    <fill>
      <patternFill patternType="none"/>
    </fill>
    <fill>
      <patternFill patternType="gray125"/>
    </fill>
    <fill>
      <patternFill patternType="solid">
        <fgColor rgb="FFFFFFFF"/>
      </patternFill>
    </fill>
    <fill>
      <patternFill patternType="solid">
        <fgColor rgb="FF0A5D70"/>
      </patternFill>
    </fill>
    <fill>
      <patternFill patternType="solid">
        <fgColor rgb="FFEAF4F8"/>
      </patternFill>
    </fill>
    <fill>
      <patternFill patternType="solid">
        <fgColor rgb="FF0F6B7A"/>
      </patternFill>
    </fill>
    <fill>
      <patternFill patternType="solid">
        <fgColor rgb="FFDDE6EA"/>
      </patternFill>
    </fill>
    <fill>
      <patternFill patternType="solid">
        <fgColor rgb="FFEAF4F7"/>
      </patternFill>
    </fill>
    <fill>
      <patternFill patternType="solid">
        <fgColor rgb="FFEAF0F3"/>
      </patternFill>
    </fill>
    <fill>
      <patternFill patternType="solid">
        <fgColor rgb="FFF8F3E5"/>
      </patternFill>
    </fill>
    <fill>
      <patternFill patternType="solid">
        <fgColor rgb="FFE8F3EC"/>
      </patternFill>
    </fill>
    <fill>
      <patternFill patternType="solid">
        <fgColor rgb="FFF6ECEF"/>
      </patternFill>
    </fill>
    <fill>
      <patternFill patternType="solid">
        <fgColor rgb="FF2F5D50"/>
      </patternFill>
    </fill>
    <fill>
      <patternFill patternType="solid">
        <fgColor rgb="FFDFE9E4"/>
      </patternFill>
    </fill>
    <fill>
      <patternFill patternType="solid">
        <fgColor rgb="FFE8F0EC"/>
      </patternFill>
    </fill>
    <fill>
      <patternFill patternType="solid">
        <fgColor rgb="FF385A70"/>
      </patternFill>
    </fill>
    <fill>
      <patternFill patternType="solid">
        <fgColor rgb="FFE5EEF4"/>
      </patternFill>
    </fill>
    <fill>
      <patternFill patternType="solid">
        <fgColor rgb="FFD7E4EE"/>
      </patternFill>
    </fill>
    <fill>
      <patternFill patternType="solid">
        <fgColor rgb="FF5B6168"/>
      </patternFill>
    </fill>
    <fill>
      <patternFill patternType="solid">
        <fgColor rgb="FFECEFF1"/>
      </patternFill>
    </fill>
    <fill>
      <patternFill patternType="solid">
        <fgColor rgb="FFE2E5E8"/>
      </patternFill>
    </fill>
    <fill>
      <patternFill patternType="solid">
        <fgColor rgb="FFF8FAFB"/>
      </patternFill>
    </fill>
    <fill>
      <patternFill patternType="solid">
        <fgColor rgb="FF0F6B7A"/>
        <bgColor indexed="64"/>
      </patternFill>
    </fill>
    <fill>
      <patternFill patternType="solid">
        <fgColor rgb="FF0A5D70"/>
        <bgColor indexed="64"/>
      </patternFill>
    </fill>
    <fill>
      <patternFill patternType="solid">
        <fgColor rgb="FF2F5D50"/>
        <bgColor indexed="64"/>
      </patternFill>
    </fill>
    <fill>
      <patternFill patternType="solid">
        <fgColor rgb="FF5B6168"/>
        <bgColor indexed="64"/>
      </patternFill>
    </fill>
    <fill>
      <patternFill patternType="solid">
        <fgColor rgb="FFE8F3EC"/>
        <bgColor indexed="64"/>
      </patternFill>
    </fill>
  </fills>
  <borders count="24">
    <border>
      <left/>
      <right/>
      <top/>
      <bottom/>
      <diagonal/>
    </border>
    <border>
      <left/>
      <right/>
      <top/>
      <bottom/>
      <diagonal/>
    </border>
    <border>
      <left/>
      <right/>
      <top style="thin">
        <color rgb="FF8097A6"/>
      </top>
      <bottom style="thin">
        <color rgb="FF8097A6"/>
      </bottom>
      <diagonal/>
    </border>
    <border>
      <left/>
      <right style="thin">
        <color rgb="FF8097A6"/>
      </right>
      <top style="thin">
        <color rgb="FF8097A6"/>
      </top>
      <bottom style="thin">
        <color rgb="FF8097A6"/>
      </bottom>
      <diagonal/>
    </border>
    <border>
      <left/>
      <right/>
      <top style="thin">
        <color rgb="FF8097A6"/>
      </top>
      <bottom style="thin">
        <color rgb="FF8097A6"/>
      </bottom>
      <diagonal/>
    </border>
    <border>
      <left/>
      <right style="thin">
        <color rgb="FF8097A6"/>
      </right>
      <top style="thin">
        <color rgb="FF8097A6"/>
      </top>
      <bottom style="thin">
        <color rgb="FF8097A6"/>
      </bottom>
      <diagonal/>
    </border>
    <border>
      <left style="thin">
        <color rgb="FFC9D2D9"/>
      </left>
      <right style="thin">
        <color rgb="FFC9D2D9"/>
      </right>
      <top style="thin">
        <color rgb="FFC9D2D9"/>
      </top>
      <bottom style="thin">
        <color rgb="FFC9D2D9"/>
      </bottom>
      <diagonal/>
    </border>
    <border>
      <left style="thin">
        <color rgb="FF8097A6"/>
      </left>
      <right style="thin">
        <color rgb="FF8097A6"/>
      </right>
      <top style="thin">
        <color rgb="FF8097A6"/>
      </top>
      <bottom style="thin">
        <color rgb="FF8097A6"/>
      </bottom>
      <diagonal/>
    </border>
    <border>
      <left/>
      <right/>
      <top style="thin">
        <color rgb="FF8097A6"/>
      </top>
      <bottom/>
      <diagonal/>
    </border>
    <border>
      <left style="thin">
        <color rgb="FFC9D3DA"/>
      </left>
      <right style="thin">
        <color rgb="FFC9D3DA"/>
      </right>
      <top style="thin">
        <color rgb="FFC9D3DA"/>
      </top>
      <bottom style="thin">
        <color rgb="FFC9D3DA"/>
      </bottom>
      <diagonal/>
    </border>
    <border>
      <left style="thin">
        <color rgb="FFDDE4E8"/>
      </left>
      <right style="thin">
        <color rgb="FFDDE4E8"/>
      </right>
      <top style="thin">
        <color rgb="FFDDE4E8"/>
      </top>
      <bottom style="thin">
        <color rgb="FFDDE4E8"/>
      </bottom>
      <diagonal/>
    </border>
    <border>
      <left style="thin">
        <color rgb="FFD2DADF"/>
      </left>
      <right style="thin">
        <color rgb="FFD2DADF"/>
      </right>
      <top style="thin">
        <color rgb="FFD2DADF"/>
      </top>
      <bottom style="thin">
        <color rgb="FFD2DADF"/>
      </bottom>
      <diagonal/>
    </border>
    <border>
      <left style="thin">
        <color rgb="FFE1E7EB"/>
      </left>
      <right style="thin">
        <color rgb="FFE1E7EB"/>
      </right>
      <top style="thin">
        <color rgb="FFE1E7EB"/>
      </top>
      <bottom style="thin">
        <color rgb="FFE1E7EB"/>
      </bottom>
      <diagonal/>
    </border>
    <border>
      <left style="thin">
        <color rgb="FFDDE4E8"/>
      </left>
      <right/>
      <top style="thin">
        <color rgb="FFDDE4E8"/>
      </top>
      <bottom style="thin">
        <color rgb="FFDDE4E8"/>
      </bottom>
      <diagonal/>
    </border>
    <border>
      <left/>
      <right style="thin">
        <color rgb="FFDDE4E8"/>
      </right>
      <top style="thin">
        <color rgb="FFDDE4E8"/>
      </top>
      <bottom style="thin">
        <color rgb="FFDDE4E8"/>
      </bottom>
      <diagonal/>
    </border>
    <border>
      <left style="thin">
        <color rgb="FFDDE4E8"/>
      </left>
      <right style="thin">
        <color rgb="FFDDE4E8"/>
      </right>
      <top style="thin">
        <color rgb="FFDDE4E8"/>
      </top>
      <bottom/>
      <diagonal/>
    </border>
    <border>
      <left/>
      <right style="thin">
        <color rgb="FFC9D2D9"/>
      </right>
      <top style="thin">
        <color rgb="FFC9D2D9"/>
      </top>
      <bottom style="thin">
        <color rgb="FFC9D2D9"/>
      </bottom>
      <diagonal/>
    </border>
    <border>
      <left style="thin">
        <color rgb="FFC9D2D9"/>
      </left>
      <right style="thin">
        <color rgb="FFC9D2D9"/>
      </right>
      <top/>
      <bottom/>
      <diagonal/>
    </border>
    <border>
      <left style="thin">
        <color rgb="FFC9D2D9"/>
      </left>
      <right style="thin">
        <color rgb="FFC9D2D9"/>
      </right>
      <top style="thin">
        <color rgb="FFC9D2D9"/>
      </top>
      <bottom/>
      <diagonal/>
    </border>
    <border>
      <left style="thin">
        <color rgb="FFC9D3DA"/>
      </left>
      <right/>
      <top style="thin">
        <color rgb="FF8097A6"/>
      </top>
      <bottom style="thin">
        <color rgb="FFC9D3DA"/>
      </bottom>
      <diagonal/>
    </border>
    <border>
      <left/>
      <right/>
      <top style="thin">
        <color rgb="FF8097A6"/>
      </top>
      <bottom style="thin">
        <color rgb="FFC9D3DA"/>
      </bottom>
      <diagonal/>
    </border>
    <border>
      <left/>
      <right style="thin">
        <color rgb="FFC9D3DA"/>
      </right>
      <top style="thin">
        <color rgb="FF8097A6"/>
      </top>
      <bottom style="thin">
        <color rgb="FFC9D3DA"/>
      </bottom>
      <diagonal/>
    </border>
    <border>
      <left style="thin">
        <color rgb="FFC9D3DA"/>
      </left>
      <right/>
      <top style="thin">
        <color rgb="FF8097A6"/>
      </top>
      <bottom/>
      <diagonal/>
    </border>
    <border>
      <left style="thin">
        <color rgb="FF8097A6"/>
      </left>
      <right/>
      <top/>
      <bottom/>
      <diagonal/>
    </border>
  </borders>
  <cellStyleXfs count="1">
    <xf numFmtId="0" fontId="0" fillId="0" borderId="1"/>
  </cellStyleXfs>
  <cellXfs count="114">
    <xf numFmtId="0" fontId="0" fillId="0" borderId="0" xfId="0" applyBorder="1"/>
    <xf numFmtId="0" fontId="0" fillId="0" borderId="0" xfId="0" applyBorder="1"/>
    <xf numFmtId="0" fontId="0" fillId="0" borderId="0" xfId="0" applyBorder="1" applyAlignment="1">
      <alignment wrapText="1"/>
    </xf>
    <xf numFmtId="0" fontId="2" fillId="0" borderId="6" xfId="0" applyFont="1" applyBorder="1" applyAlignment="1">
      <alignment vertical="center" wrapText="1"/>
    </xf>
    <xf numFmtId="0" fontId="0" fillId="0" borderId="6" xfId="0" applyBorder="1" applyAlignment="1">
      <alignment wrapText="1"/>
    </xf>
    <xf numFmtId="164" fontId="0" fillId="0" borderId="0" xfId="0" applyNumberFormat="1" applyBorder="1"/>
    <xf numFmtId="0" fontId="2" fillId="2" borderId="6" xfId="0" applyFont="1" applyFill="1" applyBorder="1" applyAlignment="1">
      <alignment wrapText="1"/>
    </xf>
    <xf numFmtId="0" fontId="1" fillId="3" borderId="0" xfId="0" applyFont="1" applyFill="1" applyBorder="1" applyAlignment="1">
      <alignment horizontal="center" vertical="center" wrapText="1"/>
    </xf>
    <xf numFmtId="0" fontId="3" fillId="4" borderId="6" xfId="0" applyFont="1" applyFill="1" applyBorder="1" applyAlignment="1">
      <alignment vertical="center" wrapText="1"/>
    </xf>
    <xf numFmtId="0" fontId="3" fillId="4" borderId="0" xfId="0" applyFont="1" applyFill="1" applyBorder="1" applyAlignment="1">
      <alignment vertical="center" wrapText="1"/>
    </xf>
    <xf numFmtId="0" fontId="4" fillId="5" borderId="0" xfId="0" applyFont="1" applyFill="1" applyBorder="1" applyAlignment="1">
      <alignment horizontal="left" vertical="center" wrapText="1"/>
    </xf>
    <xf numFmtId="0" fontId="5" fillId="6" borderId="0" xfId="0" applyFont="1" applyFill="1" applyBorder="1" applyAlignment="1">
      <alignment horizontal="left" vertical="center" wrapText="1"/>
    </xf>
    <xf numFmtId="0" fontId="6" fillId="5" borderId="9" xfId="0" applyFont="1" applyFill="1" applyBorder="1" applyAlignment="1">
      <alignment horizontal="center" vertical="center" wrapText="1"/>
    </xf>
    <xf numFmtId="0" fontId="7" fillId="4" borderId="9" xfId="0" applyFont="1" applyFill="1" applyBorder="1" applyAlignment="1">
      <alignment vertical="center" wrapText="1"/>
    </xf>
    <xf numFmtId="0" fontId="8" fillId="0" borderId="9" xfId="0" applyFont="1" applyBorder="1" applyAlignment="1">
      <alignment wrapText="1"/>
    </xf>
    <xf numFmtId="0" fontId="9" fillId="7" borderId="9"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1" fillId="0" borderId="0" xfId="0" applyFont="1" applyBorder="1" applyAlignment="1">
      <alignment wrapText="1"/>
    </xf>
    <xf numFmtId="0" fontId="12" fillId="4" borderId="6" xfId="0" applyFont="1" applyFill="1" applyBorder="1" applyAlignment="1">
      <alignment vertical="center" wrapText="1"/>
    </xf>
    <xf numFmtId="0" fontId="11" fillId="0" borderId="0" xfId="0" applyFont="1" applyBorder="1"/>
    <xf numFmtId="0" fontId="11" fillId="0" borderId="10" xfId="0" applyFont="1" applyBorder="1" applyAlignment="1">
      <alignment vertical="top" wrapText="1"/>
    </xf>
    <xf numFmtId="0" fontId="12" fillId="4" borderId="10" xfId="0" applyFont="1" applyFill="1" applyBorder="1" applyAlignment="1">
      <alignment vertical="top" wrapText="1"/>
    </xf>
    <xf numFmtId="0" fontId="6" fillId="5" borderId="11" xfId="0" applyFont="1" applyFill="1" applyBorder="1" applyAlignment="1">
      <alignment horizontal="center" vertical="center" wrapText="1"/>
    </xf>
    <xf numFmtId="0" fontId="13" fillId="8" borderId="10" xfId="0" applyFont="1" applyFill="1" applyBorder="1" applyAlignment="1">
      <alignment horizontal="left" vertical="top" wrapText="1"/>
    </xf>
    <xf numFmtId="0" fontId="8" fillId="7" borderId="9" xfId="0" applyFont="1" applyFill="1" applyBorder="1" applyAlignment="1">
      <alignment horizontal="left" vertical="center" wrapText="1"/>
    </xf>
    <xf numFmtId="0" fontId="8" fillId="9" borderId="9" xfId="0" applyFont="1" applyFill="1" applyBorder="1" applyAlignment="1">
      <alignment horizontal="left" vertical="center" wrapText="1"/>
    </xf>
    <xf numFmtId="0" fontId="8" fillId="10" borderId="9" xfId="0" applyFont="1" applyFill="1" applyBorder="1" applyAlignment="1">
      <alignment horizontal="left" vertical="center" wrapText="1"/>
    </xf>
    <xf numFmtId="0" fontId="11" fillId="0" borderId="12" xfId="0" applyFont="1" applyBorder="1" applyAlignment="1">
      <alignment vertical="top" wrapText="1"/>
    </xf>
    <xf numFmtId="164" fontId="11" fillId="0" borderId="12" xfId="0" applyNumberFormat="1" applyFont="1" applyBorder="1" applyAlignment="1">
      <alignment vertical="top" wrapText="1"/>
    </xf>
    <xf numFmtId="0" fontId="8" fillId="11" borderId="9" xfId="0" applyFont="1" applyFill="1" applyBorder="1" applyAlignment="1">
      <alignment horizontal="left" vertical="center" wrapText="1"/>
    </xf>
    <xf numFmtId="0" fontId="12" fillId="4" borderId="0" xfId="0" applyFont="1" applyFill="1" applyBorder="1" applyAlignment="1">
      <alignment vertical="center" wrapText="1"/>
    </xf>
    <xf numFmtId="0" fontId="11" fillId="2" borderId="6" xfId="0" applyFont="1" applyFill="1" applyBorder="1" applyAlignment="1">
      <alignment wrapText="1"/>
    </xf>
    <xf numFmtId="0" fontId="14" fillId="0" borderId="0" xfId="0" applyFont="1" applyBorder="1" applyAlignment="1">
      <alignment horizontal="left" vertical="center" wrapText="1"/>
    </xf>
    <xf numFmtId="0" fontId="15" fillId="0" borderId="0" xfId="0" applyFont="1" applyBorder="1" applyAlignment="1">
      <alignment horizontal="left" vertical="top" wrapText="1"/>
    </xf>
    <xf numFmtId="0" fontId="16" fillId="0" borderId="6" xfId="0" applyFont="1" applyBorder="1" applyAlignment="1">
      <alignment horizontal="left" vertical="top" wrapText="1"/>
    </xf>
    <xf numFmtId="0" fontId="17" fillId="0" borderId="0" xfId="0" applyFont="1" applyBorder="1" applyAlignment="1">
      <alignment horizontal="center" vertical="center" wrapText="1"/>
    </xf>
    <xf numFmtId="0" fontId="18" fillId="0" borderId="0" xfId="0" applyFont="1" applyBorder="1" applyAlignment="1">
      <alignment horizontal="left" vertical="center" wrapText="1"/>
    </xf>
    <xf numFmtId="0" fontId="15" fillId="0" borderId="0" xfId="0" applyFont="1" applyBorder="1" applyAlignment="1">
      <alignment horizontal="left" vertical="center" wrapText="1"/>
    </xf>
    <xf numFmtId="0" fontId="0" fillId="0" borderId="0" xfId="0" applyBorder="1" applyAlignment="1">
      <alignment vertical="top"/>
    </xf>
    <xf numFmtId="0" fontId="19" fillId="0" borderId="10" xfId="0" applyFont="1" applyBorder="1" applyAlignment="1">
      <alignment horizontal="left" vertical="center" wrapText="1"/>
    </xf>
    <xf numFmtId="0" fontId="20" fillId="0" borderId="6" xfId="0" applyFont="1" applyBorder="1" applyAlignment="1">
      <alignment horizontal="left" vertical="top" wrapText="1"/>
    </xf>
    <xf numFmtId="0" fontId="21" fillId="12" borderId="0" xfId="0" applyFont="1" applyFill="1" applyBorder="1" applyAlignment="1">
      <alignment horizontal="left" vertical="center"/>
    </xf>
    <xf numFmtId="0" fontId="22" fillId="13" borderId="2" xfId="0" applyFont="1" applyFill="1" applyBorder="1" applyAlignment="1">
      <alignment horizontal="left" vertical="center" wrapText="1"/>
    </xf>
    <xf numFmtId="0" fontId="22" fillId="13" borderId="3" xfId="0" applyFont="1" applyFill="1" applyBorder="1" applyAlignment="1">
      <alignment horizontal="left" vertical="center" wrapText="1"/>
    </xf>
    <xf numFmtId="0" fontId="22" fillId="13" borderId="0" xfId="0" applyFont="1" applyFill="1" applyBorder="1" applyAlignment="1">
      <alignment horizontal="left" vertical="center" wrapText="1"/>
    </xf>
    <xf numFmtId="0" fontId="24" fillId="12" borderId="0" xfId="0" applyFont="1" applyFill="1" applyBorder="1" applyAlignment="1">
      <alignment horizontal="left" vertical="center"/>
    </xf>
    <xf numFmtId="0" fontId="24" fillId="12" borderId="10" xfId="0" applyFont="1" applyFill="1" applyBorder="1" applyAlignment="1">
      <alignment horizontal="left" vertical="center"/>
    </xf>
    <xf numFmtId="0" fontId="23" fillId="16" borderId="10" xfId="0" applyFont="1" applyFill="1" applyBorder="1" applyAlignment="1">
      <alignment horizontal="left" vertical="center" wrapText="1"/>
    </xf>
    <xf numFmtId="0" fontId="22" fillId="21" borderId="10" xfId="0" applyFont="1" applyFill="1" applyBorder="1" applyAlignment="1">
      <alignment horizontal="left" vertical="center" wrapText="1"/>
    </xf>
    <xf numFmtId="0" fontId="23" fillId="14" borderId="11" xfId="0" applyFont="1" applyFill="1" applyBorder="1" applyAlignment="1">
      <alignment horizontal="left" vertical="center" wrapText="1"/>
    </xf>
    <xf numFmtId="0" fontId="23" fillId="14" borderId="6" xfId="0" applyFont="1" applyFill="1" applyBorder="1" applyAlignment="1">
      <alignment horizontal="left" vertical="center" wrapText="1"/>
    </xf>
    <xf numFmtId="0" fontId="23" fillId="20" borderId="6" xfId="0" applyFont="1" applyFill="1" applyBorder="1" applyAlignment="1">
      <alignment horizontal="left" vertical="center" wrapText="1"/>
    </xf>
    <xf numFmtId="0" fontId="23" fillId="20" borderId="0" xfId="0" applyFont="1" applyFill="1" applyBorder="1" applyAlignment="1">
      <alignment horizontal="left" vertical="center" wrapText="1"/>
    </xf>
    <xf numFmtId="0" fontId="21" fillId="15" borderId="0" xfId="0" applyFont="1" applyFill="1" applyBorder="1" applyAlignment="1">
      <alignment horizontal="left" vertical="center"/>
    </xf>
    <xf numFmtId="0" fontId="22" fillId="16" borderId="0" xfId="0" applyFont="1" applyFill="1" applyBorder="1" applyAlignment="1">
      <alignment horizontal="left" vertical="center" wrapText="1"/>
    </xf>
    <xf numFmtId="0" fontId="23" fillId="17" borderId="0" xfId="0" applyFont="1" applyFill="1" applyBorder="1" applyAlignment="1">
      <alignment horizontal="left" vertical="center" wrapText="1"/>
    </xf>
    <xf numFmtId="0" fontId="22" fillId="13" borderId="7" xfId="0" applyFont="1" applyFill="1" applyBorder="1" applyAlignment="1">
      <alignment vertical="center" wrapText="1"/>
    </xf>
    <xf numFmtId="0" fontId="22" fillId="13" borderId="4" xfId="0" applyFont="1" applyFill="1" applyBorder="1" applyAlignment="1">
      <alignment horizontal="left" vertical="center" wrapText="1"/>
    </xf>
    <xf numFmtId="0" fontId="22" fillId="13" borderId="5" xfId="0" applyFont="1" applyFill="1" applyBorder="1" applyAlignment="1">
      <alignment horizontal="left" vertical="center" wrapText="1"/>
    </xf>
    <xf numFmtId="0" fontId="21" fillId="12" borderId="1" xfId="0" applyFont="1" applyFill="1" applyAlignment="1">
      <alignment horizontal="left" vertical="center"/>
    </xf>
    <xf numFmtId="0" fontId="22" fillId="19" borderId="7" xfId="0" applyFont="1" applyFill="1" applyBorder="1" applyAlignment="1">
      <alignment horizontal="left" vertical="center" wrapText="1"/>
    </xf>
    <xf numFmtId="0" fontId="22" fillId="19" borderId="4" xfId="0" applyFont="1" applyFill="1" applyBorder="1" applyAlignment="1">
      <alignment horizontal="left" vertical="center" wrapText="1"/>
    </xf>
    <xf numFmtId="0" fontId="0" fillId="0" borderId="5" xfId="0" applyBorder="1"/>
    <xf numFmtId="0" fontId="21" fillId="18" borderId="1" xfId="0" applyFont="1" applyFill="1" applyAlignment="1">
      <alignment horizontal="left" vertical="center"/>
    </xf>
    <xf numFmtId="0" fontId="0" fillId="0" borderId="1" xfId="0"/>
    <xf numFmtId="0" fontId="0" fillId="0" borderId="1" xfId="0" applyBorder="1"/>
    <xf numFmtId="0" fontId="22" fillId="21" borderId="13" xfId="0" applyFont="1" applyFill="1" applyBorder="1" applyAlignment="1">
      <alignment horizontal="left" vertical="center" wrapText="1"/>
    </xf>
    <xf numFmtId="0" fontId="22" fillId="21" borderId="14" xfId="0" applyFont="1" applyFill="1" applyBorder="1" applyAlignment="1">
      <alignment horizontal="left" vertical="center" wrapText="1"/>
    </xf>
    <xf numFmtId="0" fontId="23" fillId="13" borderId="1" xfId="0" applyFont="1" applyFill="1" applyBorder="1" applyAlignment="1">
      <alignment horizontal="left" vertical="center" wrapText="1"/>
    </xf>
    <xf numFmtId="0" fontId="23" fillId="16" borderId="15" xfId="0" applyFont="1" applyFill="1" applyBorder="1" applyAlignment="1">
      <alignment horizontal="left" vertical="center" wrapText="1"/>
    </xf>
    <xf numFmtId="0" fontId="24" fillId="18" borderId="1" xfId="0" applyFont="1" applyFill="1" applyBorder="1" applyAlignment="1">
      <alignment horizontal="left" vertical="center"/>
    </xf>
    <xf numFmtId="0" fontId="22" fillId="21" borderId="10" xfId="0" applyFont="1" applyFill="1" applyBorder="1" applyAlignment="1">
      <alignment horizontal="left" vertical="center" wrapText="1"/>
    </xf>
    <xf numFmtId="0" fontId="16" fillId="0" borderId="16" xfId="0" applyFont="1" applyBorder="1" applyAlignment="1">
      <alignment horizontal="left" vertical="top" wrapText="1"/>
    </xf>
    <xf numFmtId="0" fontId="15" fillId="0" borderId="1" xfId="0" applyFont="1" applyBorder="1" applyAlignment="1">
      <alignment horizontal="left" vertical="top" wrapText="1"/>
    </xf>
    <xf numFmtId="0" fontId="24" fillId="18" borderId="17" xfId="0" applyFont="1" applyFill="1" applyBorder="1" applyAlignment="1">
      <alignment horizontal="left" vertical="center"/>
    </xf>
    <xf numFmtId="0" fontId="24" fillId="18" borderId="18" xfId="0" applyFont="1" applyFill="1" applyBorder="1" applyAlignment="1">
      <alignment horizontal="left" vertical="center"/>
    </xf>
    <xf numFmtId="0" fontId="25" fillId="0" borderId="10" xfId="0" applyFont="1" applyBorder="1" applyAlignment="1">
      <alignment vertical="top"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9" borderId="19" xfId="0" applyFont="1" applyFill="1" applyBorder="1" applyAlignment="1">
      <alignment horizontal="center" vertical="center" wrapText="1"/>
    </xf>
    <xf numFmtId="0" fontId="8" fillId="9" borderId="20" xfId="0" applyFont="1" applyFill="1" applyBorder="1" applyAlignment="1">
      <alignment horizontal="center" vertical="center" wrapText="1"/>
    </xf>
    <xf numFmtId="0" fontId="8" fillId="9" borderId="21"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6" fillId="22" borderId="9" xfId="0" applyFont="1" applyFill="1" applyBorder="1" applyAlignment="1">
      <alignment horizontal="center" vertical="center" wrapText="1"/>
    </xf>
    <xf numFmtId="0" fontId="1" fillId="23" borderId="0" xfId="0" applyFont="1" applyFill="1" applyBorder="1" applyAlignment="1">
      <alignment horizontal="center" vertical="center" wrapText="1"/>
    </xf>
    <xf numFmtId="0" fontId="28" fillId="22" borderId="11" xfId="0" applyFont="1" applyFill="1" applyBorder="1" applyAlignment="1">
      <alignment horizontal="left" vertical="center" wrapText="1"/>
    </xf>
    <xf numFmtId="0" fontId="24" fillId="24" borderId="10" xfId="0" applyFont="1" applyFill="1" applyBorder="1" applyAlignment="1">
      <alignment horizontal="left" vertical="center"/>
    </xf>
    <xf numFmtId="0" fontId="28" fillId="24" borderId="11" xfId="0" applyFont="1" applyFill="1" applyBorder="1" applyAlignment="1">
      <alignment horizontal="left" vertical="center" wrapText="1"/>
    </xf>
    <xf numFmtId="0" fontId="24" fillId="25" borderId="1" xfId="0" applyFont="1" applyFill="1" applyBorder="1" applyAlignment="1">
      <alignment horizontal="left" vertical="center"/>
    </xf>
    <xf numFmtId="0" fontId="28" fillId="25" borderId="11" xfId="0" applyFont="1" applyFill="1" applyBorder="1" applyAlignment="1">
      <alignment horizontal="left" vertical="center" wrapText="1"/>
    </xf>
    <xf numFmtId="0" fontId="28" fillId="25" borderId="6" xfId="0" applyFont="1" applyFill="1" applyBorder="1" applyAlignment="1">
      <alignment horizontal="left" vertical="center" wrapText="1"/>
    </xf>
    <xf numFmtId="0" fontId="25" fillId="0" borderId="12" xfId="0" applyFont="1" applyBorder="1" applyAlignment="1">
      <alignment vertical="top" wrapText="1"/>
    </xf>
    <xf numFmtId="0" fontId="27" fillId="0" borderId="6" xfId="0" applyFont="1" applyBorder="1" applyAlignment="1">
      <alignment vertical="center" wrapText="1"/>
    </xf>
    <xf numFmtId="0" fontId="29" fillId="8" borderId="10" xfId="0" applyFont="1" applyFill="1" applyBorder="1" applyAlignment="1">
      <alignment horizontal="left" vertical="top" wrapText="1"/>
    </xf>
    <xf numFmtId="0" fontId="30" fillId="0" borderId="12" xfId="0" applyFont="1" applyBorder="1" applyAlignment="1">
      <alignment horizontal="left" vertical="top" wrapText="1"/>
    </xf>
    <xf numFmtId="0" fontId="31" fillId="7" borderId="19" xfId="0" applyFont="1" applyFill="1" applyBorder="1" applyAlignment="1">
      <alignment horizontal="center" vertical="center"/>
    </xf>
    <xf numFmtId="0" fontId="31" fillId="7" borderId="20" xfId="0" applyFont="1" applyFill="1" applyBorder="1" applyAlignment="1">
      <alignment horizontal="center" vertical="center"/>
    </xf>
    <xf numFmtId="0" fontId="8" fillId="26" borderId="19" xfId="0" applyFont="1" applyFill="1" applyBorder="1" applyAlignment="1">
      <alignment horizontal="center" vertical="center" wrapText="1"/>
    </xf>
    <xf numFmtId="0" fontId="8" fillId="26" borderId="20" xfId="0" applyFont="1" applyFill="1" applyBorder="1" applyAlignment="1">
      <alignment horizontal="center" vertical="center" wrapText="1"/>
    </xf>
    <xf numFmtId="0" fontId="8" fillId="26" borderId="21" xfId="0" applyFont="1" applyFill="1" applyBorder="1" applyAlignment="1">
      <alignment horizontal="center" vertical="center" wrapText="1"/>
    </xf>
    <xf numFmtId="0" fontId="31" fillId="26" borderId="20" xfId="0" applyFont="1" applyFill="1" applyBorder="1" applyAlignment="1">
      <alignment horizontal="center" vertical="center"/>
    </xf>
    <xf numFmtId="0" fontId="32" fillId="8" borderId="10" xfId="0" applyFont="1" applyFill="1" applyBorder="1" applyAlignment="1">
      <alignment horizontal="left" vertical="top" wrapText="1"/>
    </xf>
    <xf numFmtId="0" fontId="26" fillId="20" borderId="0" xfId="0" applyFont="1" applyFill="1" applyBorder="1" applyAlignment="1">
      <alignment horizontal="left" vertical="center" wrapText="1"/>
    </xf>
    <xf numFmtId="0" fontId="11" fillId="0" borderId="1" xfId="0" applyFont="1" applyBorder="1" applyAlignment="1">
      <alignment wrapText="1"/>
    </xf>
    <xf numFmtId="0" fontId="23" fillId="20" borderId="1" xfId="0" applyFont="1" applyFill="1" applyBorder="1" applyAlignment="1">
      <alignment horizontal="left" vertical="center" wrapText="1"/>
    </xf>
    <xf numFmtId="0" fontId="12" fillId="4" borderId="1" xfId="0" applyFont="1" applyFill="1" applyBorder="1" applyAlignment="1">
      <alignment vertical="center" wrapText="1"/>
    </xf>
    <xf numFmtId="0" fontId="11" fillId="0" borderId="1" xfId="0" applyFont="1" applyBorder="1"/>
    <xf numFmtId="0" fontId="34" fillId="12" borderId="1" xfId="0" applyFont="1" applyFill="1" applyAlignment="1">
      <alignment horizontal="left" vertical="center"/>
    </xf>
    <xf numFmtId="0" fontId="22" fillId="13" borderId="1" xfId="0" applyFont="1" applyFill="1" applyBorder="1" applyAlignment="1">
      <alignment horizontal="left" vertical="center" wrapText="1"/>
    </xf>
    <xf numFmtId="0" fontId="36" fillId="13" borderId="23" xfId="0" applyFont="1" applyFill="1" applyBorder="1" applyAlignment="1">
      <alignment horizontal="left" vertical="center" wrapText="1"/>
    </xf>
    <xf numFmtId="0" fontId="33" fillId="0" borderId="12" xfId="0" applyFont="1" applyBorder="1" applyAlignment="1">
      <alignment horizontal="left" vertical="top" wrapText="1"/>
    </xf>
    <xf numFmtId="0" fontId="31" fillId="26" borderId="20" xfId="0" applyFont="1" applyFill="1" applyBorder="1" applyAlignment="1">
      <alignment vertical="center"/>
    </xf>
  </cellXfs>
  <cellStyles count="1">
    <cellStyle name="Normal" xfId="0" builtinId="0"/>
  </cellStyles>
  <dxfs count="93">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color rgb="FF1F4E79"/>
      </font>
      <fill>
        <patternFill>
          <bgColor rgb="FFD9EAF7"/>
        </patternFill>
      </fill>
    </dxf>
    <dxf>
      <font>
        <b/>
        <color rgb="FF7F6000"/>
      </font>
      <fill>
        <patternFill>
          <bgColor rgb="FFFFF2CC"/>
        </patternFill>
      </fill>
    </dxf>
    <dxf>
      <font>
        <b/>
        <color rgb="FF385723"/>
      </font>
      <fill>
        <patternFill>
          <bgColor rgb="FFE2F0D9"/>
        </patternFill>
      </fill>
    </dxf>
    <dxf>
      <font>
        <b/>
        <color rgb="FF9C0006"/>
      </font>
      <fill>
        <patternFill>
          <bgColor rgb="FFFCE4D6"/>
        </patternFill>
      </fill>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strike val="0"/>
        <outline val="0"/>
        <shadow val="0"/>
        <u val="none"/>
        <vertAlign val="baseline"/>
        <sz val="10"/>
        <color theme="0"/>
        <name val="Aptos Narrow"/>
        <scheme val="none"/>
      </font>
      <fill>
        <patternFill>
          <fgColor indexed="64"/>
          <bgColor rgb="FF0F6B7A"/>
        </patternFill>
      </fill>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strike val="0"/>
        <outline val="0"/>
        <shadow val="0"/>
        <u val="none"/>
        <vertAlign val="baseline"/>
        <sz val="10"/>
        <color theme="0"/>
        <name val="Aptos Narrow"/>
        <scheme val="none"/>
      </font>
      <fill>
        <patternFill>
          <fgColor indexed="64"/>
          <bgColor rgb="FF0F6B7A"/>
        </patternFill>
      </fill>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
      <font>
        <b val="0"/>
        <i val="0"/>
        <strike val="0"/>
        <condense val="0"/>
        <extend val="0"/>
        <outline val="0"/>
        <shadow val="0"/>
        <u val="none"/>
        <vertAlign val="baseline"/>
        <sz val="10"/>
        <color rgb="FF23313A"/>
        <name val="Aptos"/>
        <scheme val="none"/>
      </font>
      <alignment horizontal="general" vertical="top" textRotation="0" wrapText="1" indent="0" justifyLastLine="0" shrinkToFit="0" readingOrder="0"/>
      <border diagonalUp="0" diagonalDown="0">
        <left style="thin">
          <color rgb="FFE1E7EB"/>
        </left>
        <right style="thin">
          <color rgb="FFE1E7EB"/>
        </right>
        <top style="thin">
          <color rgb="FFE1E7EB"/>
        </top>
        <bottom style="thin">
          <color rgb="FFE1E7EB"/>
        </bottom>
        <vertical/>
        <horizontal/>
      </border>
    </dxf>
  </dxfs>
  <tableStyles count="0" defaultTableStyle="TableStyleMedium2" defaultPivotStyle="PivotStyleLight16"/>
  <colors>
    <mruColors>
      <color rgb="FF2F5D50"/>
      <color rgb="FFE8F3EC"/>
      <color rgb="FF0F6B7A"/>
      <color rgb="FF5B6168"/>
      <color rgb="FF0A5D70"/>
      <color rgb="FFDDE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A4:K200">
  <tableColumns count="11">
    <tableColumn id="1" xr3:uid="{00000000-0010-0000-0000-000001000000}" name="Session ID"/>
    <tableColumn id="2" xr3:uid="{00000000-0010-0000-0000-000002000000}" name="Workshop Date"/>
    <tableColumn id="3" xr3:uid="{00000000-0010-0000-0000-000003000000}" name="Domain / Source"/>
    <tableColumn id="4" xr3:uid="{00000000-0010-0000-0000-000004000000}" name="Session Objective"/>
    <tableColumn id="5" xr3:uid="{00000000-0010-0000-0000-000005000000}" name="Participants"/>
    <tableColumn id="6" xr3:uid="{00000000-0010-0000-0000-000006000000}" name="Pre-Reads / Inputs"/>
    <tableColumn id="7" xr3:uid="{00000000-0010-0000-0000-000007000000}" name="Key Decisions Needed"/>
    <tableColumn id="8" xr3:uid="{00000000-0010-0000-0000-000008000000}" name="Expected Outputs"/>
    <tableColumn id="9" xr3:uid="{00000000-0010-0000-0000-000009000000}" name="Facilitator"/>
    <tableColumn id="10" xr3:uid="{00000000-0010-0000-0000-00000A000000}" name="Status"/>
    <tableColumn id="11" xr3:uid="{00000000-0010-0000-0000-00000B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 displayName="Table5" ref="A4:V200">
  <tableColumns count="22">
    <tableColumn id="1" xr3:uid="{00000000-0010-0000-0100-000001000000}" name="Source ID"/>
    <tableColumn id="2" xr3:uid="{00000000-0010-0000-0100-000002000000}" name="Source Name"/>
    <tableColumn id="3" xr3:uid="{00000000-0010-0000-0100-000003000000}" name="Program / Business Area"/>
    <tableColumn id="4" xr3:uid="{00000000-0010-0000-0100-000004000000}" name="Source Owner"/>
    <tableColumn id="5" xr3:uid="{00000000-0010-0000-0100-000005000000}" name="Business Steward"/>
    <tableColumn id="6" xr3:uid="{00000000-0010-0000-0100-000006000000}" name="Technical Contact"/>
    <tableColumn id="7" xr3:uid="{00000000-0010-0000-0100-000007000000}" name="Source Type"/>
    <tableColumn id="8" xr3:uid="{00000000-0010-0000-0100-000008000000}" name="System of Record?"/>
    <tableColumn id="9" xr3:uid="{00000000-0010-0000-0100-000009000000}" name="Primary Purpose"/>
    <tableColumn id="10" xr3:uid="{00000000-0010-0000-0100-00000A000000}" name="Record Grain"/>
    <tableColumn id="11" xr3:uid="{00000000-0010-0000-0100-00000B000000}" name="Approximate Record Volume"/>
    <tableColumn id="12" xr3:uid="{00000000-0010-0000-0100-00000C000000}" name="Approximate Field Count"/>
    <tableColumn id="13" xr3:uid="{00000000-0010-0000-0100-00000D000000}" name="Refresh Frequency"/>
    <tableColumn id="14" xr3:uid="{00000000-0010-0000-0100-00000E000000}" name="Delivery Method"/>
    <tableColumn id="15" xr3:uid="{00000000-0010-0000-0100-00000F000000}" name="Key Identifiers"/>
    <tableColumn id="16" xr3:uid="{00000000-0010-0000-0100-000010000000}" name="Sensitive / Regulated Data?"/>
    <tableColumn id="17" xr3:uid="{00000000-0010-0000-0100-000011000000}" name="Known Downstream Consumers"/>
    <tableColumn id="18" xr3:uid="{00000000-0010-0000-0100-000012000000}" name="Vendor Consumer?"/>
    <tableColumn id="19" xr3:uid="{00000000-0010-0000-0100-000013000000}" name="Priority"/>
    <tableColumn id="20" xr3:uid="{00000000-0010-0000-0100-000014000000}" name="Complexity"/>
    <tableColumn id="21" xr3:uid="{00000000-0010-0000-0100-000015000000}" name="In Scope for Current Effort?"/>
    <tableColumn id="22" xr3:uid="{00000000-0010-0000-0100-000016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6" displayName="Table6" ref="A4:V100" headerRowDxfId="62">
  <tableColumns count="22">
    <tableColumn id="1" xr3:uid="{00000000-0010-0000-0200-000001000000}" name="Intake ID"/>
    <tableColumn id="2" xr3:uid="{00000000-0010-0000-0200-000002000000}" name="Source Name"/>
    <tableColumn id="3" xr3:uid="{00000000-0010-0000-0200-000003000000}" name="Source Dataset/Object Name"/>
    <tableColumn id="22" xr3:uid="{6B72FD7D-BBF7-4398-BFF7-9BD6346FAEC6}" name="Bronze Dataset / Object Name" dataDxfId="61"/>
    <tableColumn id="5" xr3:uid="{00000000-0010-0000-0200-000005000000}" name="Program / Business Area"/>
    <tableColumn id="6" xr3:uid="{00000000-0010-0000-0200-000006000000}" name="Business Objective"/>
    <tableColumn id="7" xr3:uid="{00000000-0010-0000-0200-000007000000}" name="Source Type"/>
    <tableColumn id="8" xr3:uid="{00000000-0010-0000-0200-000008000000}" name="Proposed Bronze Landing Method"/>
    <tableColumn id="4" xr3:uid="{89375EAE-C0A8-40B4-84D0-CF554D00DCEA}" name="Landing Frequency" dataDxfId="63"/>
    <tableColumn id="9" xr3:uid="{00000000-0010-0000-0200-000009000000}" name="Source Format"/>
    <tableColumn id="10" xr3:uid="{00000000-0010-0000-0200-00000A000000}" name="Schema Stability"/>
    <tableColumn id="11" xr3:uid="{00000000-0010-0000-0200-00000B000000}" name="Primary Identifiers Present"/>
    <tableColumn id="12" xr3:uid="{00000000-0010-0000-0200-00000C000000}" name="Record Grain"/>
    <tableColumn id="13" xr3:uid="{00000000-0010-0000-0200-00000D000000}" name="Raw Lineage / Load Metadata Captured?"/>
    <tableColumn id="14" xr3:uid="{00000000-0010-0000-0200-00000E000000}" name="Retention Expectation"/>
    <tableColumn id="15" xr3:uid="{00000000-0010-0000-0200-00000F000000}" name="Sensitive Data Present?"/>
    <tableColumn id="16" xr3:uid="{00000000-0010-0000-0200-000010000000}" name="Bronze Access Constraints"/>
    <tableColumn id="17" xr3:uid="{00000000-0010-0000-0200-000011000000}" name="Data Quality Concerns Observed at Intake"/>
    <tableColumn id="18" xr3:uid="{00000000-0010-0000-0200-000012000000}" name="In Scope This Cycle?"/>
    <tableColumn id="19" xr3:uid="{00000000-0010-0000-0200-000013000000}" name="Owner"/>
    <tableColumn id="20" xr3:uid="{00000000-0010-0000-0200-000014000000}" name="Status"/>
    <tableColumn id="21" xr3:uid="{00000000-0010-0000-0200-000015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9EA47C-9F11-41DC-8946-91B0320A7D94}" name="Table612" displayName="Table612" ref="A4:U100" headerRowDxfId="60">
  <tableColumns count="21">
    <tableColumn id="1" xr3:uid="{F1C6D177-A2FB-45D7-9A67-BDCE7E0276B8}" name="Silver Design ID"/>
    <tableColumn id="2" xr3:uid="{AAAB6BC2-1144-4F3E-A7A4-AF1C7D121057}" name="Source Name"/>
    <tableColumn id="3" xr3:uid="{9BD2D086-11AC-401E-8B2F-0D515A2BDE37}" name="Bronze Dataset / Object Name"/>
    <tableColumn id="5" xr3:uid="{34477E8C-D4B5-4702-9608-3C66657020DD}" name="Target Silver Dataset"/>
    <tableColumn id="6" xr3:uid="{9D1CF405-A47F-4219-898B-E76E659AC051}" name="Target Silver Table / View Name"/>
    <tableColumn id="7" xr3:uid="{4D378898-BBEB-4AE0-8CA9-77D194B69126}" name="Business Entity"/>
    <tableColumn id="8" xr3:uid="{6C02D725-F0CD-45D0-8785-C6783CAD1DF6}" name="Silver Purpose"/>
    <tableColumn id="4" xr3:uid="{E40311C3-BAB3-4A55-B975-51F9FF8FB087}" name="Target Grain" dataDxfId="59"/>
    <tableColumn id="9" xr3:uid="{11F3A205-3AF0-4146-93BB-0C9F885A2784}" name="Source Inputs Included"/>
    <tableColumn id="10" xr3:uid="{51AD681A-8C35-4E42-AB53-C327131465A4}" name="Split Needed?"/>
    <tableColumn id="11" xr3:uid="{824443B8-270C-4E29-9131-628316FAEF4E}" name="Merge / Join Needed?"/>
    <tableColumn id="12" xr3:uid="{77A1DD16-F274-4FA9-9E12-FDBC2FD49190}" name="Major Transformation Patterns"/>
    <tableColumn id="13" xr3:uid="{CCAA67BB-8CF4-4425-A07B-53B568B7919E}" name="Major Reference Data Needed"/>
    <tableColumn id="16" xr3:uid="{76C849B8-05D6-481B-8108-9B11EA97E073}" name="Sensitive Data Controls"/>
    <tableColumn id="17" xr3:uid="{090CEBFB-9B7A-44E7-947F-5EA243B393C1}" name="Primary Consumers"/>
    <tableColumn id="18" xr3:uid="{4F7D1847-58A4-4CAE-9614-B81872D293B7}" name="Vendor / External Use Expected?"/>
    <tableColumn id="19" xr3:uid="{61FADEC8-A4C1-4F36-8027-5915C44B650A}" name="In Scope This Cycle?"/>
    <tableColumn id="20" xr3:uid="{CFD7176F-585D-4782-8AC7-13D99C541E0E}" name="Owner"/>
    <tableColumn id="21" xr3:uid="{38CD44EF-4633-4F01-8959-D6CAE5B70FD8}" name="Steward" dataDxfId="58"/>
    <tableColumn id="22" xr3:uid="{809E0AFB-0BB6-4B19-B9D6-88340426CC7B}" name="Status" dataDxfId="57"/>
    <tableColumn id="23" xr3:uid="{13B81ED8-68CF-4CF7-80FF-1CD7555434A8}" name="Notes" dataDxfId="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A4:AD200">
  <tableColumns count="30">
    <tableColumn id="1" xr3:uid="{00000000-0010-0000-0300-000001000000}" name="Source Name"/>
    <tableColumn id="2" xr3:uid="{9D4BC312-18BC-4372-A4DF-E006AC12C076}" name="Bronze Dataset / Object Name" dataDxfId="92"/>
    <tableColumn id="3" xr3:uid="{D6EEF61F-BB58-43D9-A1BC-CF26434B8603}" name="Target Silver Dataset" dataDxfId="91"/>
    <tableColumn id="5" xr3:uid="{C3A71887-4081-493E-B084-61877DCA4401}" name="Source Field Name" dataDxfId="90"/>
    <tableColumn id="6" xr3:uid="{86AF5ABE-5C5C-41FC-869C-FF235740657C}" name="Source Field Label" dataDxfId="89"/>
    <tableColumn id="7" xr3:uid="{7430576A-B000-4D49-918F-94A4B9AEAAA5}" name="Source Definition" dataDxfId="88"/>
    <tableColumn id="8" xr3:uid="{8125A713-F564-49A1-B9DA-4459E661E06A}" name="Sample Values" dataDxfId="87"/>
    <tableColumn id="9" xr3:uid="{069CF98C-BA40-40E2-B487-B8D931E2E3B4}" name="Required in Source?" dataDxfId="86"/>
    <tableColumn id="10" xr3:uid="{7FDF32D8-853E-4B69-AC89-93EE7CE551A8}" name="Null / Blank Behavior in Source" dataDxfId="85"/>
    <tableColumn id="11" xr3:uid="{7E9DCAD7-B054-463E-B82A-C862382120F2}" name="Target Silver Table" dataDxfId="84"/>
    <tableColumn id="12" xr3:uid="{10E30F28-7B85-436D-8469-0745E5FAE50F}" name="Target Silver Field Name" dataDxfId="83"/>
    <tableColumn id="13" xr3:uid="{FC5AADA8-709B-4EB8-B8D0-DF173F9C5C9B}" name="Target Silver Definition" dataDxfId="82"/>
    <tableColumn id="14" xr3:uid="{8E4B83A0-EE52-48A8-8CA5-F744F8A56F3F}" name="Keep in Silver?" dataDxfId="81"/>
    <tableColumn id="15" xr3:uid="{CD8B3C1C-5F02-4552-B83F-532D4E15C80D}" name="Treatment Category" dataDxfId="80"/>
    <tableColumn id="16" xr3:uid="{2511D23D-C259-43AF-8E96-FAB92C9470FB}" name="Transformation Rule Summary" dataDxfId="79"/>
    <tableColumn id="17" xr3:uid="{EFDC73DC-CABE-44E3-B911-891F42C55683}" name="Decision Status" dataDxfId="78"/>
    <tableColumn id="18" xr3:uid="{5279E53E-52E4-45B3-994F-29B3D579E9E5}" name="Owner / Reviewer" dataDxfId="77"/>
    <tableColumn id="19" xr3:uid="{4550487D-0A3C-487A-9BB9-4D623F870D41}" name="Open Issue / Note" dataDxfId="76"/>
    <tableColumn id="20" xr3:uid="{50A547F2-1AC8-403A-84F8-0971CB882163}" name="Sensitive Classification" dataDxfId="75"/>
    <tableColumn id="21" xr3:uid="{E721DEF9-258C-4933-B6BB-49E55F372986}" name="Mask / Restrict Rule" dataDxfId="74"/>
    <tableColumn id="22" xr3:uid="{76BC8B3E-AA06-44B4-8201-C147619DB38F}" name="Consumer-Specific Only?" dataDxfId="73"/>
    <tableColumn id="23" xr3:uid="{DE459949-F092-4A8F-B528-B48DDCB1AEC0}" name="Data Quality Rules Applied" dataDxfId="72"/>
    <tableColumn id="24" xr3:uid="{3043AD2F-4BFD-4F8F-A6F3-7D88FD60DBBB}" name="Source of Truth / Authority Note" dataDxfId="71"/>
    <tableColumn id="25" xr3:uid="{F69C8F32-221A-4C36-9163-6EA171DBC9A0}" name="Source Data Type" dataDxfId="70"/>
    <tableColumn id="26" xr3:uid="{4D882D0D-9D71-4014-911C-96BAC21BF91A}" name="Source Format / Length" dataDxfId="69"/>
    <tableColumn id="27" xr3:uid="{4A7F1FEE-A546-4D9F-BDE5-16B06E9E7E80}" name="Target Data Type" dataDxfId="68"/>
    <tableColumn id="28" xr3:uid="{5054E40C-990C-4581-9048-4B4E50B0AE5F}" name="Detailed Transformation Logic" dataDxfId="67"/>
    <tableColumn id="29" xr3:uid="{FBFDDE23-1983-4D67-8AF5-B2DE583E6B9B}" name="Reference Mapping Needed?" dataDxfId="66"/>
    <tableColumn id="30" xr3:uid="{D6579FC2-B3CE-4107-923D-E598117BBCD4}" name="Reference Table / Value Set" dataDxfId="65"/>
    <tableColumn id="31" xr3:uid="{5EDA680B-15F7-41EF-8A58-C1801D295A7D}" name="Derived Field?" dataDxfId="6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9" displayName="Table9" ref="A4:Q200">
  <tableColumns count="17">
    <tableColumn id="1" xr3:uid="{00000000-0010-0000-0400-000001000000}" name="Rule ID"/>
    <tableColumn id="2" xr3:uid="{00000000-0010-0000-0400-000002000000}" name="Rule Name"/>
    <tableColumn id="3" xr3:uid="{00000000-0010-0000-0400-000003000000}" name="Source / Dataset"/>
    <tableColumn id="4" xr3:uid="{00000000-0010-0000-0400-000004000000}" name="Target Layer"/>
    <tableColumn id="5" xr3:uid="{00000000-0010-0000-0400-000005000000}" name="Business Entity"/>
    <tableColumn id="6" xr3:uid="{00000000-0010-0000-0400-000006000000}" name="Applies to Field(s)"/>
    <tableColumn id="7" xr3:uid="{00000000-0010-0000-0400-000007000000}" name="Rule Type"/>
    <tableColumn id="8" xr3:uid="{00000000-0010-0000-0400-000008000000}" name="Rule Description"/>
    <tableColumn id="9" xr3:uid="{00000000-0010-0000-0400-000009000000}" name="Severity"/>
    <tableColumn id="10" xr3:uid="{00000000-0010-0000-0400-00000A000000}" name="Threshold / Tolerance"/>
    <tableColumn id="11" xr3:uid="{00000000-0010-0000-0400-00000B000000}" name="Expected Behavior if Failed"/>
    <tableColumn id="12" xr3:uid="{00000000-0010-0000-0400-00000C000000}" name="Exception Handling"/>
    <tableColumn id="13" xr3:uid="{00000000-0010-0000-0400-00000D000000}" name="Business Rationale"/>
    <tableColumn id="14" xr3:uid="{00000000-0010-0000-0400-00000E000000}" name="Owner"/>
    <tableColumn id="15" xr3:uid="{00000000-0010-0000-0400-00000F000000}" name="Implementation Status"/>
    <tableColumn id="16" xr3:uid="{00000000-0010-0000-0400-000010000000}" name="Monitoring Needed?"/>
    <tableColumn id="17" xr3:uid="{00000000-0010-0000-0400-000011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0" displayName="Table10" ref="A4:R200">
  <tableColumns count="18">
    <tableColumn id="1" xr3:uid="{00000000-0010-0000-0500-000001000000}" name="Product ID"/>
    <tableColumn id="2" xr3:uid="{00000000-0010-0000-0500-000002000000}" name="Gold Product Name"/>
    <tableColumn id="3" xr3:uid="{00000000-0010-0000-0500-000003000000}" name="Business Purpose"/>
    <tableColumn id="4" xr3:uid="{00000000-0010-0000-0500-000004000000}" name="Primary Consumers"/>
    <tableColumn id="5" xr3:uid="{00000000-0010-0000-0500-000005000000}" name="Source Silver Dataset(s)"/>
    <tableColumn id="6" xr3:uid="{00000000-0010-0000-0500-000006000000}" name="Record Grain"/>
    <tableColumn id="7" xr3:uid="{00000000-0010-0000-0500-000007000000}" name="Key Measures / Dimensions"/>
    <tableColumn id="8" xr3:uid="{00000000-0010-0000-0500-000008000000}" name="Refresh Frequency"/>
    <tableColumn id="9" xr3:uid="{00000000-0010-0000-0500-000009000000}" name="Latency / SLA Expectation"/>
    <tableColumn id="10" xr3:uid="{00000000-0010-0000-0500-00000A000000}" name="Access Method"/>
    <tableColumn id="11" xr3:uid="{00000000-0010-0000-0500-00000B000000}" name="Data Owner"/>
    <tableColumn id="12" xr3:uid="{00000000-0010-0000-0500-00000C000000}" name="Data Steward"/>
    <tableColumn id="13" xr3:uid="{00000000-0010-0000-0500-00000D000000}" name="Data Custodian"/>
    <tableColumn id="14" xr3:uid="{00000000-0010-0000-0500-00000E000000}" name="Sensitive Classification"/>
    <tableColumn id="15" xr3:uid="{00000000-0010-0000-0500-00000F000000}" name="Data Contract Needed?"/>
    <tableColumn id="16" xr3:uid="{00000000-0010-0000-0500-000010000000}" name="Definition of Done"/>
    <tableColumn id="17" xr3:uid="{00000000-0010-0000-0500-000011000000}" name="Status"/>
    <tableColumn id="18" xr3:uid="{00000000-0010-0000-0500-000012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1" displayName="Table11" ref="A4:M200">
  <tableColumns count="13">
    <tableColumn id="1" xr3:uid="{00000000-0010-0000-0600-000001000000}" name="Dataset / Product"/>
    <tableColumn id="2" xr3:uid="{00000000-0010-0000-0600-000002000000}" name="Layer"/>
    <tableColumn id="3" xr3:uid="{00000000-0010-0000-0600-000003000000}" name="Consumer Group"/>
    <tableColumn id="4" xr3:uid="{00000000-0010-0000-0600-000004000000}" name="Business Purpose"/>
    <tableColumn id="5" xr3:uid="{00000000-0010-0000-0600-000005000000}" name="Access Method"/>
    <tableColumn id="6" xr3:uid="{00000000-0010-0000-0600-000006000000}" name="Minimum Necessary Scope"/>
    <tableColumn id="7" xr3:uid="{00000000-0010-0000-0600-000007000000}" name="Row / Column Restrictions"/>
    <tableColumn id="8" xr3:uid="{00000000-0010-0000-0600-000008000000}" name="De-identification Needed?"/>
    <tableColumn id="9" xr3:uid="{00000000-0010-0000-0600-000009000000}" name="Approval Required From"/>
    <tableColumn id="10" xr3:uid="{00000000-0010-0000-0600-00000A000000}" name="DUA / DSA / Contract Needed?"/>
    <tableColumn id="11" xr3:uid="{00000000-0010-0000-0600-00000B000000}" name="Access Decision"/>
    <tableColumn id="12" xr3:uid="{00000000-0010-0000-0600-00000C000000}" name="Expiration / Review Date"/>
    <tableColumn id="13" xr3:uid="{00000000-0010-0000-0600-00000D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2" displayName="Table12" ref="A4:I200">
  <tableColumns count="9">
    <tableColumn id="1" xr3:uid="{00000000-0010-0000-0700-000001000000}" name="Domain / Source"/>
    <tableColumn id="2" xr3:uid="{00000000-0010-0000-0700-000002000000}" name="Dataset / Product"/>
    <tableColumn id="3" xr3:uid="{00000000-0010-0000-0700-000003000000}" name="Role Type"/>
    <tableColumn id="4" xr3:uid="{00000000-0010-0000-0700-000004000000}" name="Person / Group"/>
    <tableColumn id="5" xr3:uid="{00000000-0010-0000-0700-000005000000}" name="Responsibilities"/>
    <tableColumn id="6" xr3:uid="{00000000-0010-0000-0700-000006000000}" name="Decision Rights"/>
    <tableColumn id="7" xr3:uid="{00000000-0010-0000-0700-000007000000}" name="Escalation Path"/>
    <tableColumn id="8" xr3:uid="{00000000-0010-0000-0700-000008000000}" name="Status"/>
    <tableColumn id="9" xr3:uid="{00000000-0010-0000-0700-000009000000}"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3" displayName="Table13" ref="A4:P200">
  <tableColumns count="16">
    <tableColumn id="1" xr3:uid="{00000000-0010-0000-0800-000001000000}" name="Decision ID"/>
    <tableColumn id="2" xr3:uid="{00000000-0010-0000-0800-000002000000}" name="Date Raised"/>
    <tableColumn id="3" xr3:uid="{00000000-0010-0000-0800-000003000000}" name="Topic"/>
    <tableColumn id="4" xr3:uid="{00000000-0010-0000-0800-000004000000}" name="Scope"/>
    <tableColumn id="5" xr3:uid="{00000000-0010-0000-0800-000005000000}" name="Decision Statement"/>
    <tableColumn id="6" xr3:uid="{00000000-0010-0000-0800-000006000000}" name="Options Considered"/>
    <tableColumn id="7" xr3:uid="{00000000-0010-0000-0800-000007000000}" name="Rationale"/>
    <tableColumn id="8" xr3:uid="{00000000-0010-0000-0800-000008000000}" name="Decision Maker"/>
    <tableColumn id="9" xr3:uid="{00000000-0010-0000-0800-000009000000}" name="Effective Date"/>
    <tableColumn id="10" xr3:uid="{00000000-0010-0000-0800-00000A000000}" name="Affected Artifact"/>
    <tableColumn id="11" xr3:uid="{00000000-0010-0000-0800-00000B000000}" name="Affected Source(s)"/>
    <tableColumn id="12" xr3:uid="{00000000-0010-0000-0800-00000C000000}" name="Follow-Up Action"/>
    <tableColumn id="13" xr3:uid="{00000000-0010-0000-0800-00000D000000}" name="Action Owner"/>
    <tableColumn id="14" xr3:uid="{00000000-0010-0000-0800-00000E000000}" name="Due Date"/>
    <tableColumn id="15" xr3:uid="{00000000-0010-0000-0800-00000F000000}" name="Status"/>
    <tableColumn id="16" xr3:uid="{00000000-0010-0000-0800-000010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4" displayName="Table14" ref="A4:L200">
  <tableColumns count="12">
    <tableColumn id="1" xr3:uid="{00000000-0010-0000-0900-000001000000}" name="RAID ID"/>
    <tableColumn id="2" xr3:uid="{00000000-0010-0000-0900-000002000000}" name="Type"/>
    <tableColumn id="3" xr3:uid="{00000000-0010-0000-0900-000003000000}" name="Date Raised"/>
    <tableColumn id="4" xr3:uid="{00000000-0010-0000-0900-000004000000}" name="Source / Domain"/>
    <tableColumn id="5" xr3:uid="{00000000-0010-0000-0900-000005000000}" name="Description"/>
    <tableColumn id="6" xr3:uid="{00000000-0010-0000-0900-000006000000}" name="Impact"/>
    <tableColumn id="7" xr3:uid="{00000000-0010-0000-0900-000007000000}" name="Likelihood"/>
    <tableColumn id="8" xr3:uid="{00000000-0010-0000-0900-000008000000}" name="Mitigation / Next Step"/>
    <tableColumn id="9" xr3:uid="{00000000-0010-0000-0900-000009000000}" name="Owner"/>
    <tableColumn id="10" xr3:uid="{00000000-0010-0000-0900-00000A000000}" name="Status"/>
    <tableColumn id="11" xr3:uid="{00000000-0010-0000-0900-00000B000000}" name="Due Date"/>
    <tableColumn id="12" xr3:uid="{00000000-0010-0000-0900-00000C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1"/>
  <sheetViews>
    <sheetView workbookViewId="0">
      <pane ySplit="3" topLeftCell="A4" activePane="bottomLeft" state="frozen"/>
      <selection pane="bottomLeft" activeCell="D7" sqref="D7:H7"/>
    </sheetView>
  </sheetViews>
  <sheetFormatPr defaultRowHeight="15" x14ac:dyDescent="0.25"/>
  <cols>
    <col min="1" max="1" width="22" style="1" customWidth="1"/>
    <col min="2" max="2" width="26" style="1" customWidth="1"/>
    <col min="3" max="3" width="14" style="1" customWidth="1"/>
    <col min="4" max="4" width="24" style="1" customWidth="1"/>
    <col min="5" max="5" width="25.42578125" style="1" customWidth="1"/>
    <col min="6" max="6" width="20" style="1" customWidth="1"/>
    <col min="7" max="7" width="16" style="1" customWidth="1"/>
    <col min="8" max="8" width="28" style="1" customWidth="1"/>
    <col min="9" max="9" width="3" style="1" customWidth="1"/>
    <col min="10" max="10" width="34" style="1" customWidth="1"/>
  </cols>
  <sheetData>
    <row r="1" spans="1:52" ht="24" customHeight="1" x14ac:dyDescent="0.25">
      <c r="A1" s="59" t="s">
        <v>0</v>
      </c>
      <c r="B1" s="59"/>
      <c r="C1" s="59"/>
      <c r="D1" s="59"/>
      <c r="E1" s="59"/>
      <c r="F1" s="59"/>
      <c r="G1" s="41"/>
      <c r="H1" s="41"/>
      <c r="I1" s="41"/>
      <c r="J1" s="41"/>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44.25" customHeight="1" x14ac:dyDescent="0.25">
      <c r="A2" s="56" t="s">
        <v>1</v>
      </c>
      <c r="B2" s="57"/>
      <c r="C2" s="57"/>
      <c r="D2" s="57"/>
      <c r="E2" s="57"/>
      <c r="F2" s="58"/>
      <c r="G2" s="42"/>
      <c r="H2" s="43"/>
      <c r="I2" s="44"/>
      <c r="J2" s="44"/>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1.95" customHeight="1" x14ac:dyDescent="0.25">
      <c r="A4" s="12" t="s">
        <v>2</v>
      </c>
      <c r="B4" s="85" t="s">
        <v>3</v>
      </c>
      <c r="C4" s="86"/>
      <c r="D4" s="12" t="s">
        <v>4</v>
      </c>
      <c r="E4" s="12" t="s">
        <v>5</v>
      </c>
      <c r="F4" s="12" t="s">
        <v>6</v>
      </c>
      <c r="G4" s="12" t="s">
        <v>7</v>
      </c>
      <c r="H4" s="12" t="s">
        <v>8</v>
      </c>
      <c r="I4" s="12"/>
      <c r="J4" s="12" t="s">
        <v>9</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27" x14ac:dyDescent="0.25">
      <c r="A5" s="13" t="s">
        <v>10</v>
      </c>
      <c r="B5" s="15">
        <f>COUNTA('02 Source Inventory'!A6:A2000)</f>
        <v>2</v>
      </c>
      <c r="C5" s="9"/>
      <c r="D5" s="21" t="s">
        <v>11</v>
      </c>
      <c r="E5" s="21" t="s">
        <v>12</v>
      </c>
      <c r="F5" s="21" t="s">
        <v>13</v>
      </c>
      <c r="G5" s="20" t="s">
        <v>14</v>
      </c>
      <c r="H5" s="76" t="s">
        <v>590</v>
      </c>
      <c r="I5" s="20"/>
      <c r="J5" s="20" t="s">
        <v>15</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40.5" x14ac:dyDescent="0.25">
      <c r="A6" s="14" t="s">
        <v>16</v>
      </c>
      <c r="B6" s="16">
        <f>COUNTIF('02 Source Inventory'!U6:U2000,"Yes")</f>
        <v>2</v>
      </c>
      <c r="C6" s="2"/>
      <c r="D6" s="20" t="s">
        <v>17</v>
      </c>
      <c r="E6" s="20" t="s">
        <v>18</v>
      </c>
      <c r="F6" s="20" t="s">
        <v>13</v>
      </c>
      <c r="G6" s="20" t="s">
        <v>14</v>
      </c>
      <c r="H6" s="20" t="s">
        <v>19</v>
      </c>
      <c r="I6" s="20"/>
      <c r="J6" s="20" t="s">
        <v>20</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27" x14ac:dyDescent="0.25">
      <c r="A7" s="14" t="s">
        <v>21</v>
      </c>
      <c r="B7" s="16">
        <f>COUNTIF('09 Decisions'!O6:O2000,"Open")</f>
        <v>1</v>
      </c>
      <c r="C7" s="2"/>
      <c r="D7" s="20" t="s">
        <v>22</v>
      </c>
      <c r="E7" s="20" t="s">
        <v>23</v>
      </c>
      <c r="F7" s="20" t="s">
        <v>24</v>
      </c>
      <c r="G7" s="20" t="s">
        <v>25</v>
      </c>
      <c r="H7" s="20" t="s">
        <v>26</v>
      </c>
      <c r="I7" s="20"/>
      <c r="J7" s="20"/>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ht="40.5" x14ac:dyDescent="0.25">
      <c r="A8" s="14" t="s">
        <v>27</v>
      </c>
      <c r="B8" s="16">
        <f>COUNTIF('10 RAID Log'!J6:J2000,"Open")</f>
        <v>2</v>
      </c>
      <c r="C8" s="2"/>
      <c r="D8" s="20" t="s">
        <v>28</v>
      </c>
      <c r="E8" s="20" t="s">
        <v>29</v>
      </c>
      <c r="F8" s="20" t="s">
        <v>13</v>
      </c>
      <c r="G8" s="20" t="s">
        <v>30</v>
      </c>
      <c r="H8" s="20" t="s">
        <v>31</v>
      </c>
      <c r="I8" s="20"/>
      <c r="J8" s="20"/>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ht="27" x14ac:dyDescent="0.25">
      <c r="A9" s="14" t="s">
        <v>32</v>
      </c>
      <c r="B9" s="16">
        <f>COUNTA('06 Gold Product'!A6:A2000)</f>
        <v>1</v>
      </c>
      <c r="C9" s="2"/>
      <c r="D9" s="20" t="s">
        <v>33</v>
      </c>
      <c r="E9" s="20" t="s">
        <v>34</v>
      </c>
      <c r="F9" s="20" t="s">
        <v>13</v>
      </c>
      <c r="G9" s="20" t="s">
        <v>30</v>
      </c>
      <c r="H9" s="20" t="s">
        <v>35</v>
      </c>
      <c r="I9" s="20"/>
      <c r="J9" s="20"/>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ht="40.5" x14ac:dyDescent="0.25">
      <c r="A10" s="2"/>
      <c r="B10" s="2"/>
      <c r="C10" s="2"/>
      <c r="D10" s="20" t="s">
        <v>36</v>
      </c>
      <c r="E10" s="20" t="s">
        <v>37</v>
      </c>
      <c r="F10" s="20" t="s">
        <v>13</v>
      </c>
      <c r="G10" s="20" t="s">
        <v>38</v>
      </c>
      <c r="H10" s="20" t="s">
        <v>39</v>
      </c>
      <c r="I10" s="20"/>
      <c r="J10" s="20"/>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ht="40.5" x14ac:dyDescent="0.25">
      <c r="D11" s="20" t="s">
        <v>40</v>
      </c>
      <c r="E11" s="20" t="s">
        <v>41</v>
      </c>
      <c r="F11" s="20" t="s">
        <v>13</v>
      </c>
      <c r="G11" s="20" t="s">
        <v>42</v>
      </c>
      <c r="H11" s="20" t="s">
        <v>43</v>
      </c>
      <c r="I11" s="20"/>
      <c r="J11" s="20"/>
    </row>
    <row r="12" spans="1:52" s="65" customFormat="1" x14ac:dyDescent="0.25">
      <c r="D12" s="20"/>
      <c r="E12" s="20"/>
      <c r="F12" s="20"/>
      <c r="G12" s="20"/>
      <c r="H12" s="20"/>
      <c r="I12" s="20"/>
      <c r="J12" s="20"/>
    </row>
    <row r="13" spans="1:52" ht="21.95" customHeight="1" x14ac:dyDescent="0.25">
      <c r="A13" s="45" t="s">
        <v>44</v>
      </c>
      <c r="B13" s="45"/>
      <c r="C13" s="45"/>
      <c r="D13" s="46"/>
      <c r="E13" s="46"/>
      <c r="F13" s="88"/>
      <c r="G13" s="20"/>
      <c r="H13" s="20"/>
      <c r="I13" s="20"/>
      <c r="J13" s="20"/>
    </row>
    <row r="14" spans="1:52" ht="20.100000000000001" customHeight="1" x14ac:dyDescent="0.25">
      <c r="A14" s="68" t="s">
        <v>45</v>
      </c>
      <c r="B14" s="68"/>
      <c r="C14" s="68"/>
      <c r="D14" s="69" t="s">
        <v>46</v>
      </c>
      <c r="E14" s="47"/>
      <c r="F14" s="47"/>
      <c r="G14" s="20"/>
      <c r="H14" s="20"/>
      <c r="I14" s="20"/>
      <c r="J14" s="20"/>
    </row>
    <row r="15" spans="1:52" ht="27.95" customHeight="1" x14ac:dyDescent="0.25">
      <c r="A15" s="48" t="s">
        <v>47</v>
      </c>
      <c r="B15" s="71" t="s">
        <v>48</v>
      </c>
      <c r="C15" s="71"/>
      <c r="D15" s="48" t="s">
        <v>49</v>
      </c>
      <c r="E15" s="66" t="s">
        <v>50</v>
      </c>
      <c r="F15" s="67"/>
      <c r="G15" s="20"/>
      <c r="H15" s="20"/>
      <c r="I15" s="20"/>
      <c r="J15" s="20"/>
    </row>
    <row r="16" spans="1:52" ht="27.95" customHeight="1" x14ac:dyDescent="0.25">
      <c r="A16" s="48"/>
      <c r="B16" s="48"/>
      <c r="C16" s="48"/>
      <c r="D16" s="48"/>
      <c r="E16" s="48"/>
      <c r="F16" s="48"/>
      <c r="G16" s="39"/>
      <c r="H16" s="39"/>
      <c r="I16" s="20"/>
      <c r="J16" s="20"/>
    </row>
    <row r="17" spans="1:8" ht="21.95" customHeight="1" x14ac:dyDescent="0.25">
      <c r="A17" s="90" t="s">
        <v>51</v>
      </c>
      <c r="B17" s="70"/>
      <c r="C17" s="70"/>
      <c r="D17" s="74"/>
      <c r="E17" s="75"/>
      <c r="F17" s="75"/>
      <c r="G17" s="40"/>
      <c r="H17" s="40"/>
    </row>
    <row r="18" spans="1:8" ht="27.95" customHeight="1" x14ac:dyDescent="0.25">
      <c r="A18" s="48" t="s">
        <v>52</v>
      </c>
      <c r="B18" s="71" t="s">
        <v>53</v>
      </c>
      <c r="C18" s="71"/>
      <c r="D18" s="71"/>
      <c r="E18" s="71"/>
      <c r="F18" s="71"/>
      <c r="G18" s="72"/>
      <c r="H18" s="34"/>
    </row>
    <row r="19" spans="1:8" ht="27.95" customHeight="1" x14ac:dyDescent="0.25">
      <c r="A19" s="48"/>
      <c r="B19" s="48"/>
      <c r="C19" s="48"/>
      <c r="D19" s="48"/>
      <c r="E19" s="48"/>
      <c r="F19" s="48"/>
      <c r="G19" s="73"/>
      <c r="H19" s="33"/>
    </row>
    <row r="20" spans="1:8" ht="24" customHeight="1" x14ac:dyDescent="0.25">
      <c r="A20" s="33"/>
      <c r="B20" s="33"/>
      <c r="C20" s="33"/>
      <c r="D20" s="33"/>
      <c r="E20" s="33"/>
      <c r="F20" s="33"/>
      <c r="G20" s="33"/>
      <c r="H20" s="33"/>
    </row>
    <row r="21" spans="1:8" ht="24" customHeight="1" x14ac:dyDescent="0.25">
      <c r="A21" s="33"/>
      <c r="B21" s="33"/>
      <c r="C21" s="33"/>
      <c r="D21" s="33"/>
      <c r="E21" s="33"/>
      <c r="F21" s="33"/>
      <c r="G21" s="33"/>
      <c r="H21" s="33"/>
    </row>
  </sheetData>
  <mergeCells count="5">
    <mergeCell ref="A2:F2"/>
    <mergeCell ref="A1:F1"/>
    <mergeCell ref="B15:C15"/>
    <mergeCell ref="E15:F15"/>
    <mergeCell ref="B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300"/>
  <sheetViews>
    <sheetView workbookViewId="0">
      <pane ySplit="3" topLeftCell="A4" activePane="bottomLeft" state="frozen"/>
      <selection pane="bottomLeft" sqref="A1:K1"/>
    </sheetView>
  </sheetViews>
  <sheetFormatPr defaultRowHeight="15" x14ac:dyDescent="0.25"/>
  <cols>
    <col min="1" max="1" width="10" style="1" customWidth="1"/>
    <col min="2" max="2" width="12.7109375" style="1" bestFit="1" customWidth="1"/>
    <col min="3" max="3" width="19.140625" style="1" customWidth="1"/>
    <col min="4" max="4" width="36.140625" style="1" customWidth="1"/>
    <col min="5" max="6" width="24" style="1" customWidth="1"/>
    <col min="7" max="7" width="28.5703125" style="1" customWidth="1"/>
    <col min="8" max="8" width="27.5703125" style="1" customWidth="1"/>
    <col min="9" max="9" width="14" style="1" customWidth="1"/>
    <col min="10" max="10" width="18" style="1" customWidth="1"/>
    <col min="11" max="11" width="32" style="1" customWidth="1"/>
  </cols>
  <sheetData>
    <row r="1" spans="1:52" ht="24" customHeight="1" x14ac:dyDescent="0.25">
      <c r="A1" s="59" t="s">
        <v>22</v>
      </c>
      <c r="B1" s="59"/>
      <c r="C1" s="59"/>
      <c r="D1" s="59"/>
      <c r="E1" s="59"/>
      <c r="F1" s="59"/>
      <c r="G1" s="59"/>
      <c r="H1" s="59"/>
      <c r="I1" s="59"/>
      <c r="J1" s="59"/>
      <c r="K1" s="59"/>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54</v>
      </c>
      <c r="B2" s="57"/>
      <c r="C2" s="57"/>
      <c r="D2" s="57"/>
      <c r="E2" s="57"/>
      <c r="F2" s="57"/>
      <c r="G2" s="57"/>
      <c r="H2" s="57"/>
      <c r="I2" s="57"/>
      <c r="J2" s="57"/>
      <c r="K2" s="58"/>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77" t="s">
        <v>55</v>
      </c>
      <c r="B3" s="78"/>
      <c r="C3" s="78"/>
      <c r="D3" s="79"/>
      <c r="E3" s="80" t="s">
        <v>56</v>
      </c>
      <c r="F3" s="81"/>
      <c r="G3" s="81"/>
      <c r="H3" s="82"/>
      <c r="I3" s="83" t="s">
        <v>38</v>
      </c>
      <c r="J3" s="84"/>
      <c r="K3" s="84"/>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87" t="s">
        <v>57</v>
      </c>
      <c r="B4" s="87" t="s">
        <v>58</v>
      </c>
      <c r="C4" s="87" t="s">
        <v>59</v>
      </c>
      <c r="D4" s="87" t="s">
        <v>60</v>
      </c>
      <c r="E4" s="89" t="s">
        <v>61</v>
      </c>
      <c r="F4" s="89" t="s">
        <v>62</v>
      </c>
      <c r="G4" s="89" t="s">
        <v>63</v>
      </c>
      <c r="H4" s="89" t="s">
        <v>64</v>
      </c>
      <c r="I4" s="91" t="s">
        <v>65</v>
      </c>
      <c r="J4" s="91" t="s">
        <v>66</v>
      </c>
      <c r="K4" s="92" t="s">
        <v>67</v>
      </c>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68</v>
      </c>
      <c r="B5" s="23" t="s">
        <v>69</v>
      </c>
      <c r="C5" s="23" t="s">
        <v>70</v>
      </c>
      <c r="D5" s="23" t="s">
        <v>71</v>
      </c>
      <c r="E5" s="23" t="s">
        <v>72</v>
      </c>
      <c r="F5" s="23" t="s">
        <v>73</v>
      </c>
      <c r="G5" s="23" t="s">
        <v>74</v>
      </c>
      <c r="H5" s="23" t="s">
        <v>75</v>
      </c>
      <c r="I5" s="23" t="s">
        <v>76</v>
      </c>
      <c r="J5" s="23" t="s">
        <v>77</v>
      </c>
      <c r="K5" s="8" t="s">
        <v>78</v>
      </c>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40.5" x14ac:dyDescent="0.25">
      <c r="A6" s="27" t="s">
        <v>79</v>
      </c>
      <c r="B6" s="28" t="s">
        <v>80</v>
      </c>
      <c r="C6" s="27" t="s">
        <v>81</v>
      </c>
      <c r="D6" s="27" t="s">
        <v>82</v>
      </c>
      <c r="E6" s="27" t="s">
        <v>83</v>
      </c>
      <c r="F6" s="27" t="s">
        <v>84</v>
      </c>
      <c r="G6" s="27" t="s">
        <v>85</v>
      </c>
      <c r="H6" s="27" t="s">
        <v>86</v>
      </c>
      <c r="I6" s="93" t="s">
        <v>591</v>
      </c>
      <c r="J6" s="28" t="s">
        <v>87</v>
      </c>
      <c r="K6" s="94" t="s">
        <v>592</v>
      </c>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x14ac:dyDescent="0.25">
      <c r="A7" s="27"/>
      <c r="B7" s="28"/>
      <c r="C7" s="27"/>
      <c r="D7" s="27"/>
      <c r="E7" s="27"/>
      <c r="F7" s="27"/>
      <c r="G7" s="27"/>
      <c r="H7" s="27"/>
      <c r="I7" s="27"/>
      <c r="J7" s="28"/>
      <c r="K7" s="4"/>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8"/>
      <c r="C8" s="27"/>
      <c r="D8" s="27"/>
      <c r="E8" s="27"/>
      <c r="F8" s="27"/>
      <c r="G8" s="27"/>
      <c r="H8" s="27"/>
      <c r="I8" s="27"/>
      <c r="J8" s="28"/>
      <c r="K8" s="4"/>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8"/>
      <c r="C9" s="27"/>
      <c r="D9" s="27"/>
      <c r="E9" s="27"/>
      <c r="F9" s="27"/>
      <c r="G9" s="27"/>
      <c r="H9" s="27"/>
      <c r="I9" s="27"/>
      <c r="J9" s="28"/>
      <c r="K9" s="4"/>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8"/>
      <c r="C10" s="27"/>
      <c r="D10" s="27"/>
      <c r="E10" s="27"/>
      <c r="F10" s="27"/>
      <c r="G10" s="27"/>
      <c r="H10" s="27"/>
      <c r="I10" s="27"/>
      <c r="J10" s="28"/>
      <c r="K10" s="4"/>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8"/>
      <c r="C11" s="27"/>
      <c r="D11" s="27"/>
      <c r="E11" s="27"/>
      <c r="F11" s="27"/>
      <c r="G11" s="27"/>
      <c r="H11" s="27"/>
      <c r="I11" s="27"/>
      <c r="J11" s="28"/>
      <c r="K11" s="4"/>
    </row>
    <row r="12" spans="1:52" x14ac:dyDescent="0.25">
      <c r="A12" s="27"/>
      <c r="B12" s="28"/>
      <c r="C12" s="27"/>
      <c r="D12" s="27"/>
      <c r="E12" s="27"/>
      <c r="F12" s="27"/>
      <c r="G12" s="27"/>
      <c r="H12" s="27"/>
      <c r="I12" s="27"/>
      <c r="J12" s="28"/>
      <c r="K12" s="4"/>
    </row>
    <row r="13" spans="1:52" x14ac:dyDescent="0.25">
      <c r="A13" s="27"/>
      <c r="B13" s="28"/>
      <c r="C13" s="27"/>
      <c r="D13" s="27"/>
      <c r="E13" s="27"/>
      <c r="F13" s="27"/>
      <c r="G13" s="27"/>
      <c r="H13" s="27"/>
      <c r="I13" s="27"/>
      <c r="J13" s="28"/>
      <c r="K13" s="4"/>
    </row>
    <row r="14" spans="1:52" x14ac:dyDescent="0.25">
      <c r="A14" s="27"/>
      <c r="B14" s="28"/>
      <c r="C14" s="27"/>
      <c r="D14" s="27"/>
      <c r="E14" s="27"/>
      <c r="F14" s="27"/>
      <c r="G14" s="27"/>
      <c r="H14" s="27"/>
      <c r="I14" s="27"/>
      <c r="J14" s="28"/>
      <c r="K14" s="4"/>
    </row>
    <row r="15" spans="1:52" x14ac:dyDescent="0.25">
      <c r="A15" s="27"/>
      <c r="B15" s="28"/>
      <c r="C15" s="27"/>
      <c r="D15" s="27"/>
      <c r="E15" s="27"/>
      <c r="F15" s="27"/>
      <c r="G15" s="27"/>
      <c r="H15" s="27"/>
      <c r="I15" s="27"/>
      <c r="J15" s="28"/>
      <c r="K15" s="4"/>
    </row>
    <row r="16" spans="1:52" x14ac:dyDescent="0.25">
      <c r="A16" s="27"/>
      <c r="B16" s="28"/>
      <c r="C16" s="27"/>
      <c r="D16" s="27"/>
      <c r="E16" s="27"/>
      <c r="F16" s="27"/>
      <c r="G16" s="27"/>
      <c r="H16" s="27"/>
      <c r="I16" s="27"/>
      <c r="J16" s="28"/>
      <c r="K16" s="4"/>
    </row>
    <row r="17" spans="1:11" x14ac:dyDescent="0.25">
      <c r="A17" s="27"/>
      <c r="B17" s="28"/>
      <c r="C17" s="27"/>
      <c r="D17" s="27"/>
      <c r="E17" s="27"/>
      <c r="F17" s="27"/>
      <c r="G17" s="27"/>
      <c r="H17" s="27"/>
      <c r="I17" s="27"/>
      <c r="J17" s="28"/>
      <c r="K17" s="4"/>
    </row>
    <row r="18" spans="1:11" x14ac:dyDescent="0.25">
      <c r="A18" s="27"/>
      <c r="B18" s="28"/>
      <c r="C18" s="27"/>
      <c r="D18" s="27"/>
      <c r="E18" s="27"/>
      <c r="F18" s="27"/>
      <c r="G18" s="27"/>
      <c r="H18" s="27"/>
      <c r="I18" s="27"/>
      <c r="J18" s="28"/>
      <c r="K18" s="4"/>
    </row>
    <row r="19" spans="1:11" x14ac:dyDescent="0.25">
      <c r="A19" s="27"/>
      <c r="B19" s="28"/>
      <c r="C19" s="27"/>
      <c r="D19" s="27"/>
      <c r="E19" s="27"/>
      <c r="F19" s="27"/>
      <c r="G19" s="27"/>
      <c r="H19" s="27"/>
      <c r="I19" s="27"/>
      <c r="J19" s="28"/>
      <c r="K19" s="4"/>
    </row>
    <row r="20" spans="1:11" x14ac:dyDescent="0.25">
      <c r="A20" s="27"/>
      <c r="B20" s="28"/>
      <c r="C20" s="27"/>
      <c r="D20" s="27"/>
      <c r="E20" s="27"/>
      <c r="F20" s="27"/>
      <c r="G20" s="27"/>
      <c r="H20" s="27"/>
      <c r="I20" s="27"/>
      <c r="J20" s="28"/>
      <c r="K20" s="4"/>
    </row>
    <row r="21" spans="1:11" x14ac:dyDescent="0.25">
      <c r="A21" s="27"/>
      <c r="B21" s="28"/>
      <c r="C21" s="27"/>
      <c r="D21" s="27"/>
      <c r="E21" s="27"/>
      <c r="F21" s="27"/>
      <c r="G21" s="27"/>
      <c r="H21" s="27"/>
      <c r="I21" s="27"/>
      <c r="J21" s="28"/>
      <c r="K21" s="4"/>
    </row>
    <row r="22" spans="1:11" x14ac:dyDescent="0.25">
      <c r="A22" s="27"/>
      <c r="B22" s="28"/>
      <c r="C22" s="27"/>
      <c r="D22" s="27"/>
      <c r="E22" s="27"/>
      <c r="F22" s="27"/>
      <c r="G22" s="27"/>
      <c r="H22" s="27"/>
      <c r="I22" s="27"/>
      <c r="J22" s="28"/>
      <c r="K22" s="4"/>
    </row>
    <row r="23" spans="1:11" x14ac:dyDescent="0.25">
      <c r="A23" s="27"/>
      <c r="B23" s="28"/>
      <c r="C23" s="27"/>
      <c r="D23" s="27"/>
      <c r="E23" s="27"/>
      <c r="F23" s="27"/>
      <c r="G23" s="27"/>
      <c r="H23" s="27"/>
      <c r="I23" s="27"/>
      <c r="J23" s="28"/>
      <c r="K23" s="4"/>
    </row>
    <row r="24" spans="1:11" x14ac:dyDescent="0.25">
      <c r="A24" s="27"/>
      <c r="B24" s="28"/>
      <c r="C24" s="27"/>
      <c r="D24" s="27"/>
      <c r="E24" s="27"/>
      <c r="F24" s="27"/>
      <c r="G24" s="27"/>
      <c r="H24" s="27"/>
      <c r="I24" s="27"/>
      <c r="J24" s="28"/>
      <c r="K24" s="4"/>
    </row>
    <row r="25" spans="1:11" x14ac:dyDescent="0.25">
      <c r="A25" s="27"/>
      <c r="B25" s="28"/>
      <c r="C25" s="27"/>
      <c r="D25" s="27"/>
      <c r="E25" s="27"/>
      <c r="F25" s="27"/>
      <c r="G25" s="27"/>
      <c r="H25" s="27"/>
      <c r="I25" s="27"/>
      <c r="J25" s="28"/>
      <c r="K25" s="4"/>
    </row>
    <row r="26" spans="1:11" x14ac:dyDescent="0.25">
      <c r="A26" s="27"/>
      <c r="B26" s="28"/>
      <c r="C26" s="27"/>
      <c r="D26" s="27"/>
      <c r="E26" s="27"/>
      <c r="F26" s="27"/>
      <c r="G26" s="27"/>
      <c r="H26" s="27"/>
      <c r="I26" s="27"/>
      <c r="J26" s="28"/>
      <c r="K26" s="4"/>
    </row>
    <row r="27" spans="1:11" x14ac:dyDescent="0.25">
      <c r="A27" s="27"/>
      <c r="B27" s="28"/>
      <c r="C27" s="27"/>
      <c r="D27" s="27"/>
      <c r="E27" s="27"/>
      <c r="F27" s="27"/>
      <c r="G27" s="27"/>
      <c r="H27" s="27"/>
      <c r="I27" s="27"/>
      <c r="J27" s="28"/>
      <c r="K27" s="4"/>
    </row>
    <row r="28" spans="1:11" x14ac:dyDescent="0.25">
      <c r="A28" s="27"/>
      <c r="B28" s="28"/>
      <c r="C28" s="27"/>
      <c r="D28" s="27"/>
      <c r="E28" s="27"/>
      <c r="F28" s="27"/>
      <c r="G28" s="27"/>
      <c r="H28" s="27"/>
      <c r="I28" s="27"/>
      <c r="J28" s="28"/>
      <c r="K28" s="4"/>
    </row>
    <row r="29" spans="1:11" x14ac:dyDescent="0.25">
      <c r="A29" s="27"/>
      <c r="B29" s="28"/>
      <c r="C29" s="27"/>
      <c r="D29" s="27"/>
      <c r="E29" s="27"/>
      <c r="F29" s="27"/>
      <c r="G29" s="27"/>
      <c r="H29" s="27"/>
      <c r="I29" s="27"/>
      <c r="J29" s="28"/>
      <c r="K29" s="4"/>
    </row>
    <row r="30" spans="1:11" x14ac:dyDescent="0.25">
      <c r="A30" s="27"/>
      <c r="B30" s="28"/>
      <c r="C30" s="27"/>
      <c r="D30" s="27"/>
      <c r="E30" s="27"/>
      <c r="F30" s="27"/>
      <c r="G30" s="27"/>
      <c r="H30" s="27"/>
      <c r="I30" s="27"/>
      <c r="J30" s="28"/>
      <c r="K30" s="4"/>
    </row>
    <row r="31" spans="1:11" x14ac:dyDescent="0.25">
      <c r="A31" s="27"/>
      <c r="B31" s="28"/>
      <c r="C31" s="27"/>
      <c r="D31" s="27"/>
      <c r="E31" s="27"/>
      <c r="F31" s="27"/>
      <c r="G31" s="27"/>
      <c r="H31" s="27"/>
      <c r="I31" s="27"/>
      <c r="J31" s="28"/>
      <c r="K31" s="4"/>
    </row>
    <row r="32" spans="1:11" x14ac:dyDescent="0.25">
      <c r="A32" s="27"/>
      <c r="B32" s="28"/>
      <c r="C32" s="27"/>
      <c r="D32" s="27"/>
      <c r="E32" s="27"/>
      <c r="F32" s="27"/>
      <c r="G32" s="27"/>
      <c r="H32" s="27"/>
      <c r="I32" s="27"/>
      <c r="J32" s="28"/>
      <c r="K32" s="4"/>
    </row>
    <row r="33" spans="1:11" x14ac:dyDescent="0.25">
      <c r="A33" s="27"/>
      <c r="B33" s="28"/>
      <c r="C33" s="27"/>
      <c r="D33" s="27"/>
      <c r="E33" s="27"/>
      <c r="F33" s="27"/>
      <c r="G33" s="27"/>
      <c r="H33" s="27"/>
      <c r="I33" s="27"/>
      <c r="J33" s="28"/>
      <c r="K33" s="4"/>
    </row>
    <row r="34" spans="1:11" x14ac:dyDescent="0.25">
      <c r="A34" s="27"/>
      <c r="B34" s="28"/>
      <c r="C34" s="27"/>
      <c r="D34" s="27"/>
      <c r="E34" s="27"/>
      <c r="F34" s="27"/>
      <c r="G34" s="27"/>
      <c r="H34" s="27"/>
      <c r="I34" s="27"/>
      <c r="J34" s="28"/>
      <c r="K34" s="4"/>
    </row>
    <row r="35" spans="1:11" x14ac:dyDescent="0.25">
      <c r="A35" s="27"/>
      <c r="B35" s="28"/>
      <c r="C35" s="27"/>
      <c r="D35" s="27"/>
      <c r="E35" s="27"/>
      <c r="F35" s="27"/>
      <c r="G35" s="27"/>
      <c r="H35" s="27"/>
      <c r="I35" s="27"/>
      <c r="J35" s="28"/>
      <c r="K35" s="4"/>
    </row>
    <row r="36" spans="1:11" x14ac:dyDescent="0.25">
      <c r="A36" s="27"/>
      <c r="B36" s="28"/>
      <c r="C36" s="27"/>
      <c r="D36" s="27"/>
      <c r="E36" s="27"/>
      <c r="F36" s="27"/>
      <c r="G36" s="27"/>
      <c r="H36" s="27"/>
      <c r="I36" s="27"/>
      <c r="J36" s="28"/>
      <c r="K36" s="4"/>
    </row>
    <row r="37" spans="1:11" x14ac:dyDescent="0.25">
      <c r="A37" s="27"/>
      <c r="B37" s="28"/>
      <c r="C37" s="27"/>
      <c r="D37" s="27"/>
      <c r="E37" s="27"/>
      <c r="F37" s="27"/>
      <c r="G37" s="27"/>
      <c r="H37" s="27"/>
      <c r="I37" s="27"/>
      <c r="J37" s="28"/>
      <c r="K37" s="4"/>
    </row>
    <row r="38" spans="1:11" x14ac:dyDescent="0.25">
      <c r="A38" s="27"/>
      <c r="B38" s="28"/>
      <c r="C38" s="27"/>
      <c r="D38" s="27"/>
      <c r="E38" s="27"/>
      <c r="F38" s="27"/>
      <c r="G38" s="27"/>
      <c r="H38" s="27"/>
      <c r="I38" s="27"/>
      <c r="J38" s="28"/>
      <c r="K38" s="4"/>
    </row>
    <row r="39" spans="1:11" x14ac:dyDescent="0.25">
      <c r="A39" s="27"/>
      <c r="B39" s="28"/>
      <c r="C39" s="27"/>
      <c r="D39" s="27"/>
      <c r="E39" s="27"/>
      <c r="F39" s="27"/>
      <c r="G39" s="27"/>
      <c r="H39" s="27"/>
      <c r="I39" s="27"/>
      <c r="J39" s="28"/>
      <c r="K39" s="4"/>
    </row>
    <row r="40" spans="1:11" x14ac:dyDescent="0.25">
      <c r="A40" s="27"/>
      <c r="B40" s="28"/>
      <c r="C40" s="27"/>
      <c r="D40" s="27"/>
      <c r="E40" s="27"/>
      <c r="F40" s="27"/>
      <c r="G40" s="27"/>
      <c r="H40" s="27"/>
      <c r="I40" s="27"/>
      <c r="J40" s="28"/>
      <c r="K40" s="4"/>
    </row>
    <row r="41" spans="1:11" x14ac:dyDescent="0.25">
      <c r="A41" s="27"/>
      <c r="B41" s="28"/>
      <c r="C41" s="27"/>
      <c r="D41" s="27"/>
      <c r="E41" s="27"/>
      <c r="F41" s="27"/>
      <c r="G41" s="27"/>
      <c r="H41" s="27"/>
      <c r="I41" s="27"/>
      <c r="J41" s="28"/>
      <c r="K41" s="4"/>
    </row>
    <row r="42" spans="1:11" x14ac:dyDescent="0.25">
      <c r="A42" s="27"/>
      <c r="B42" s="28"/>
      <c r="C42" s="27"/>
      <c r="D42" s="27"/>
      <c r="E42" s="27"/>
      <c r="F42" s="27"/>
      <c r="G42" s="27"/>
      <c r="H42" s="27"/>
      <c r="I42" s="27"/>
      <c r="J42" s="28"/>
      <c r="K42" s="4"/>
    </row>
    <row r="43" spans="1:11" x14ac:dyDescent="0.25">
      <c r="A43" s="27"/>
      <c r="B43" s="28"/>
      <c r="C43" s="27"/>
      <c r="D43" s="27"/>
      <c r="E43" s="27"/>
      <c r="F43" s="27"/>
      <c r="G43" s="27"/>
      <c r="H43" s="27"/>
      <c r="I43" s="27"/>
      <c r="J43" s="28"/>
      <c r="K43" s="4"/>
    </row>
    <row r="44" spans="1:11" x14ac:dyDescent="0.25">
      <c r="A44" s="27"/>
      <c r="B44" s="28"/>
      <c r="C44" s="27"/>
      <c r="D44" s="27"/>
      <c r="E44" s="27"/>
      <c r="F44" s="27"/>
      <c r="G44" s="27"/>
      <c r="H44" s="27"/>
      <c r="I44" s="27"/>
      <c r="J44" s="28"/>
      <c r="K44" s="4"/>
    </row>
    <row r="45" spans="1:11" x14ac:dyDescent="0.25">
      <c r="A45" s="27"/>
      <c r="B45" s="28"/>
      <c r="C45" s="27"/>
      <c r="D45" s="27"/>
      <c r="E45" s="27"/>
      <c r="F45" s="27"/>
      <c r="G45" s="27"/>
      <c r="H45" s="27"/>
      <c r="I45" s="27"/>
      <c r="J45" s="28"/>
      <c r="K45" s="4"/>
    </row>
    <row r="46" spans="1:11" x14ac:dyDescent="0.25">
      <c r="A46" s="27"/>
      <c r="B46" s="28"/>
      <c r="C46" s="27"/>
      <c r="D46" s="27"/>
      <c r="E46" s="27"/>
      <c r="F46" s="27"/>
      <c r="G46" s="27"/>
      <c r="H46" s="27"/>
      <c r="I46" s="27"/>
      <c r="J46" s="28"/>
      <c r="K46" s="4"/>
    </row>
    <row r="47" spans="1:11" x14ac:dyDescent="0.25">
      <c r="A47" s="27"/>
      <c r="B47" s="28"/>
      <c r="C47" s="27"/>
      <c r="D47" s="27"/>
      <c r="E47" s="27"/>
      <c r="F47" s="27"/>
      <c r="G47" s="27"/>
      <c r="H47" s="27"/>
      <c r="I47" s="27"/>
      <c r="J47" s="28"/>
      <c r="K47" s="4"/>
    </row>
    <row r="48" spans="1:11" x14ac:dyDescent="0.25">
      <c r="A48" s="27"/>
      <c r="B48" s="28"/>
      <c r="C48" s="27"/>
      <c r="D48" s="27"/>
      <c r="E48" s="27"/>
      <c r="F48" s="27"/>
      <c r="G48" s="27"/>
      <c r="H48" s="27"/>
      <c r="I48" s="27"/>
      <c r="J48" s="28"/>
      <c r="K48" s="4"/>
    </row>
    <row r="49" spans="1:11" x14ac:dyDescent="0.25">
      <c r="A49" s="27"/>
      <c r="B49" s="28"/>
      <c r="C49" s="27"/>
      <c r="D49" s="27"/>
      <c r="E49" s="27"/>
      <c r="F49" s="27"/>
      <c r="G49" s="27"/>
      <c r="H49" s="27"/>
      <c r="I49" s="27"/>
      <c r="J49" s="28"/>
      <c r="K49" s="4"/>
    </row>
    <row r="50" spans="1:11" x14ac:dyDescent="0.25">
      <c r="A50" s="27"/>
      <c r="B50" s="28"/>
      <c r="C50" s="27"/>
      <c r="D50" s="27"/>
      <c r="E50" s="27"/>
      <c r="F50" s="27"/>
      <c r="G50" s="27"/>
      <c r="H50" s="27"/>
      <c r="I50" s="27"/>
      <c r="J50" s="28"/>
      <c r="K50" s="4"/>
    </row>
    <row r="51" spans="1:11" x14ac:dyDescent="0.25">
      <c r="A51" s="27"/>
      <c r="B51" s="28"/>
      <c r="C51" s="27"/>
      <c r="D51" s="27"/>
      <c r="E51" s="27"/>
      <c r="F51" s="27"/>
      <c r="G51" s="27"/>
      <c r="H51" s="27"/>
      <c r="I51" s="27"/>
      <c r="J51" s="28"/>
      <c r="K51" s="4"/>
    </row>
    <row r="52" spans="1:11" x14ac:dyDescent="0.25">
      <c r="A52" s="27"/>
      <c r="B52" s="28"/>
      <c r="C52" s="27"/>
      <c r="D52" s="27"/>
      <c r="E52" s="27"/>
      <c r="F52" s="27"/>
      <c r="G52" s="27"/>
      <c r="H52" s="27"/>
      <c r="I52" s="27"/>
      <c r="J52" s="28"/>
      <c r="K52" s="4"/>
    </row>
    <row r="53" spans="1:11" x14ac:dyDescent="0.25">
      <c r="A53" s="27"/>
      <c r="B53" s="28"/>
      <c r="C53" s="27"/>
      <c r="D53" s="27"/>
      <c r="E53" s="27"/>
      <c r="F53" s="27"/>
      <c r="G53" s="27"/>
      <c r="H53" s="27"/>
      <c r="I53" s="27"/>
      <c r="J53" s="28"/>
      <c r="K53" s="4"/>
    </row>
    <row r="54" spans="1:11" x14ac:dyDescent="0.25">
      <c r="A54" s="27"/>
      <c r="B54" s="28"/>
      <c r="C54" s="27"/>
      <c r="D54" s="27"/>
      <c r="E54" s="27"/>
      <c r="F54" s="27"/>
      <c r="G54" s="27"/>
      <c r="H54" s="27"/>
      <c r="I54" s="27"/>
      <c r="J54" s="28"/>
      <c r="K54" s="4"/>
    </row>
    <row r="55" spans="1:11" x14ac:dyDescent="0.25">
      <c r="A55" s="27"/>
      <c r="B55" s="28"/>
      <c r="C55" s="27"/>
      <c r="D55" s="27"/>
      <c r="E55" s="27"/>
      <c r="F55" s="27"/>
      <c r="G55" s="27"/>
      <c r="H55" s="27"/>
      <c r="I55" s="27"/>
      <c r="J55" s="28"/>
      <c r="K55" s="4"/>
    </row>
    <row r="56" spans="1:11" x14ac:dyDescent="0.25">
      <c r="A56" s="27"/>
      <c r="B56" s="28"/>
      <c r="C56" s="27"/>
      <c r="D56" s="27"/>
      <c r="E56" s="27"/>
      <c r="F56" s="27"/>
      <c r="G56" s="27"/>
      <c r="H56" s="27"/>
      <c r="I56" s="27"/>
      <c r="J56" s="28"/>
      <c r="K56" s="4"/>
    </row>
    <row r="57" spans="1:11" x14ac:dyDescent="0.25">
      <c r="A57" s="27"/>
      <c r="B57" s="28"/>
      <c r="C57" s="27"/>
      <c r="D57" s="27"/>
      <c r="E57" s="27"/>
      <c r="F57" s="27"/>
      <c r="G57" s="27"/>
      <c r="H57" s="27"/>
      <c r="I57" s="27"/>
      <c r="J57" s="28"/>
      <c r="K57" s="4"/>
    </row>
    <row r="58" spans="1:11" x14ac:dyDescent="0.25">
      <c r="A58" s="27"/>
      <c r="B58" s="28"/>
      <c r="C58" s="27"/>
      <c r="D58" s="27"/>
      <c r="E58" s="27"/>
      <c r="F58" s="27"/>
      <c r="G58" s="27"/>
      <c r="H58" s="27"/>
      <c r="I58" s="27"/>
      <c r="J58" s="28"/>
      <c r="K58" s="4"/>
    </row>
    <row r="59" spans="1:11" x14ac:dyDescent="0.25">
      <c r="A59" s="27"/>
      <c r="B59" s="28"/>
      <c r="C59" s="27"/>
      <c r="D59" s="27"/>
      <c r="E59" s="27"/>
      <c r="F59" s="27"/>
      <c r="G59" s="27"/>
      <c r="H59" s="27"/>
      <c r="I59" s="27"/>
      <c r="J59" s="28"/>
      <c r="K59" s="4"/>
    </row>
    <row r="60" spans="1:11" x14ac:dyDescent="0.25">
      <c r="A60" s="27"/>
      <c r="B60" s="28"/>
      <c r="C60" s="27"/>
      <c r="D60" s="27"/>
      <c r="E60" s="27"/>
      <c r="F60" s="27"/>
      <c r="G60" s="27"/>
      <c r="H60" s="27"/>
      <c r="I60" s="27"/>
      <c r="J60" s="28"/>
      <c r="K60" s="4"/>
    </row>
    <row r="61" spans="1:11" x14ac:dyDescent="0.25">
      <c r="A61" s="27"/>
      <c r="B61" s="28"/>
      <c r="C61" s="27"/>
      <c r="D61" s="27"/>
      <c r="E61" s="27"/>
      <c r="F61" s="27"/>
      <c r="G61" s="27"/>
      <c r="H61" s="27"/>
      <c r="I61" s="27"/>
      <c r="J61" s="28"/>
      <c r="K61" s="4"/>
    </row>
    <row r="62" spans="1:11" x14ac:dyDescent="0.25">
      <c r="A62" s="27"/>
      <c r="B62" s="28"/>
      <c r="C62" s="27"/>
      <c r="D62" s="27"/>
      <c r="E62" s="27"/>
      <c r="F62" s="27"/>
      <c r="G62" s="27"/>
      <c r="H62" s="27"/>
      <c r="I62" s="27"/>
      <c r="J62" s="28"/>
      <c r="K62" s="4"/>
    </row>
    <row r="63" spans="1:11" x14ac:dyDescent="0.25">
      <c r="A63" s="27"/>
      <c r="B63" s="28"/>
      <c r="C63" s="27"/>
      <c r="D63" s="27"/>
      <c r="E63" s="27"/>
      <c r="F63" s="27"/>
      <c r="G63" s="27"/>
      <c r="H63" s="27"/>
      <c r="I63" s="27"/>
      <c r="J63" s="28"/>
      <c r="K63" s="4"/>
    </row>
    <row r="64" spans="1:11" x14ac:dyDescent="0.25">
      <c r="A64" s="27"/>
      <c r="B64" s="28"/>
      <c r="C64" s="27"/>
      <c r="D64" s="27"/>
      <c r="E64" s="27"/>
      <c r="F64" s="27"/>
      <c r="G64" s="27"/>
      <c r="H64" s="27"/>
      <c r="I64" s="27"/>
      <c r="J64" s="28"/>
      <c r="K64" s="4"/>
    </row>
    <row r="65" spans="1:11" x14ac:dyDescent="0.25">
      <c r="A65" s="27"/>
      <c r="B65" s="28"/>
      <c r="C65" s="27"/>
      <c r="D65" s="27"/>
      <c r="E65" s="27"/>
      <c r="F65" s="27"/>
      <c r="G65" s="27"/>
      <c r="H65" s="27"/>
      <c r="I65" s="27"/>
      <c r="J65" s="28"/>
      <c r="K65" s="4"/>
    </row>
    <row r="66" spans="1:11" x14ac:dyDescent="0.25">
      <c r="A66" s="27"/>
      <c r="B66" s="28"/>
      <c r="C66" s="27"/>
      <c r="D66" s="27"/>
      <c r="E66" s="27"/>
      <c r="F66" s="27"/>
      <c r="G66" s="27"/>
      <c r="H66" s="27"/>
      <c r="I66" s="27"/>
      <c r="J66" s="28"/>
      <c r="K66" s="4"/>
    </row>
    <row r="67" spans="1:11" x14ac:dyDescent="0.25">
      <c r="A67" s="27"/>
      <c r="B67" s="28"/>
      <c r="C67" s="27"/>
      <c r="D67" s="27"/>
      <c r="E67" s="27"/>
      <c r="F67" s="27"/>
      <c r="G67" s="27"/>
      <c r="H67" s="27"/>
      <c r="I67" s="27"/>
      <c r="J67" s="28"/>
      <c r="K67" s="4"/>
    </row>
    <row r="68" spans="1:11" x14ac:dyDescent="0.25">
      <c r="A68" s="27"/>
      <c r="B68" s="28"/>
      <c r="C68" s="27"/>
      <c r="D68" s="27"/>
      <c r="E68" s="27"/>
      <c r="F68" s="27"/>
      <c r="G68" s="27"/>
      <c r="H68" s="27"/>
      <c r="I68" s="27"/>
      <c r="J68" s="28"/>
      <c r="K68" s="4"/>
    </row>
    <row r="69" spans="1:11" x14ac:dyDescent="0.25">
      <c r="A69" s="27"/>
      <c r="B69" s="28"/>
      <c r="C69" s="27"/>
      <c r="D69" s="27"/>
      <c r="E69" s="27"/>
      <c r="F69" s="27"/>
      <c r="G69" s="27"/>
      <c r="H69" s="27"/>
      <c r="I69" s="27"/>
      <c r="J69" s="28"/>
      <c r="K69" s="4"/>
    </row>
    <row r="70" spans="1:11" x14ac:dyDescent="0.25">
      <c r="A70" s="27"/>
      <c r="B70" s="28"/>
      <c r="C70" s="27"/>
      <c r="D70" s="27"/>
      <c r="E70" s="27"/>
      <c r="F70" s="27"/>
      <c r="G70" s="27"/>
      <c r="H70" s="27"/>
      <c r="I70" s="27"/>
      <c r="J70" s="28"/>
      <c r="K70" s="4"/>
    </row>
    <row r="71" spans="1:11" x14ac:dyDescent="0.25">
      <c r="A71" s="27"/>
      <c r="B71" s="28"/>
      <c r="C71" s="27"/>
      <c r="D71" s="27"/>
      <c r="E71" s="27"/>
      <c r="F71" s="27"/>
      <c r="G71" s="27"/>
      <c r="H71" s="27"/>
      <c r="I71" s="27"/>
      <c r="J71" s="28"/>
      <c r="K71" s="4"/>
    </row>
    <row r="72" spans="1:11" x14ac:dyDescent="0.25">
      <c r="A72" s="27"/>
      <c r="B72" s="28"/>
      <c r="C72" s="27"/>
      <c r="D72" s="27"/>
      <c r="E72" s="27"/>
      <c r="F72" s="27"/>
      <c r="G72" s="27"/>
      <c r="H72" s="27"/>
      <c r="I72" s="27"/>
      <c r="J72" s="28"/>
      <c r="K72" s="4"/>
    </row>
    <row r="73" spans="1:11" x14ac:dyDescent="0.25">
      <c r="A73" s="27"/>
      <c r="B73" s="28"/>
      <c r="C73" s="27"/>
      <c r="D73" s="27"/>
      <c r="E73" s="27"/>
      <c r="F73" s="27"/>
      <c r="G73" s="27"/>
      <c r="H73" s="27"/>
      <c r="I73" s="27"/>
      <c r="J73" s="28"/>
      <c r="K73" s="4"/>
    </row>
    <row r="74" spans="1:11" x14ac:dyDescent="0.25">
      <c r="A74" s="27"/>
      <c r="B74" s="28"/>
      <c r="C74" s="27"/>
      <c r="D74" s="27"/>
      <c r="E74" s="27"/>
      <c r="F74" s="27"/>
      <c r="G74" s="27"/>
      <c r="H74" s="27"/>
      <c r="I74" s="27"/>
      <c r="J74" s="28"/>
      <c r="K74" s="4"/>
    </row>
    <row r="75" spans="1:11" x14ac:dyDescent="0.25">
      <c r="A75" s="27"/>
      <c r="B75" s="28"/>
      <c r="C75" s="27"/>
      <c r="D75" s="27"/>
      <c r="E75" s="27"/>
      <c r="F75" s="27"/>
      <c r="G75" s="27"/>
      <c r="H75" s="27"/>
      <c r="I75" s="27"/>
      <c r="J75" s="28"/>
      <c r="K75" s="4"/>
    </row>
    <row r="76" spans="1:11" x14ac:dyDescent="0.25">
      <c r="A76" s="27"/>
      <c r="B76" s="28"/>
      <c r="C76" s="27"/>
      <c r="D76" s="27"/>
      <c r="E76" s="27"/>
      <c r="F76" s="27"/>
      <c r="G76" s="27"/>
      <c r="H76" s="27"/>
      <c r="I76" s="27"/>
      <c r="J76" s="28"/>
      <c r="K76" s="4"/>
    </row>
    <row r="77" spans="1:11" x14ac:dyDescent="0.25">
      <c r="A77" s="27"/>
      <c r="B77" s="28"/>
      <c r="C77" s="27"/>
      <c r="D77" s="27"/>
      <c r="E77" s="27"/>
      <c r="F77" s="27"/>
      <c r="G77" s="27"/>
      <c r="H77" s="27"/>
      <c r="I77" s="27"/>
      <c r="J77" s="28"/>
      <c r="K77" s="4"/>
    </row>
    <row r="78" spans="1:11" x14ac:dyDescent="0.25">
      <c r="A78" s="27"/>
      <c r="B78" s="28"/>
      <c r="C78" s="27"/>
      <c r="D78" s="27"/>
      <c r="E78" s="27"/>
      <c r="F78" s="27"/>
      <c r="G78" s="27"/>
      <c r="H78" s="27"/>
      <c r="I78" s="27"/>
      <c r="J78" s="28"/>
      <c r="K78" s="4"/>
    </row>
    <row r="79" spans="1:11" x14ac:dyDescent="0.25">
      <c r="A79" s="27"/>
      <c r="B79" s="28"/>
      <c r="C79" s="27"/>
      <c r="D79" s="27"/>
      <c r="E79" s="27"/>
      <c r="F79" s="27"/>
      <c r="G79" s="27"/>
      <c r="H79" s="27"/>
      <c r="I79" s="27"/>
      <c r="J79" s="28"/>
      <c r="K79" s="4"/>
    </row>
    <row r="80" spans="1:11" x14ac:dyDescent="0.25">
      <c r="A80" s="27"/>
      <c r="B80" s="28"/>
      <c r="C80" s="27"/>
      <c r="D80" s="27"/>
      <c r="E80" s="27"/>
      <c r="F80" s="27"/>
      <c r="G80" s="27"/>
      <c r="H80" s="27"/>
      <c r="I80" s="27"/>
      <c r="J80" s="28"/>
      <c r="K80" s="4"/>
    </row>
    <row r="81" spans="1:11" x14ac:dyDescent="0.25">
      <c r="A81" s="27"/>
      <c r="B81" s="28"/>
      <c r="C81" s="27"/>
      <c r="D81" s="27"/>
      <c r="E81" s="27"/>
      <c r="F81" s="27"/>
      <c r="G81" s="27"/>
      <c r="H81" s="27"/>
      <c r="I81" s="27"/>
      <c r="J81" s="28"/>
      <c r="K81" s="4"/>
    </row>
    <row r="82" spans="1:11" x14ac:dyDescent="0.25">
      <c r="A82" s="27"/>
      <c r="B82" s="28"/>
      <c r="C82" s="27"/>
      <c r="D82" s="27"/>
      <c r="E82" s="27"/>
      <c r="F82" s="27"/>
      <c r="G82" s="27"/>
      <c r="H82" s="27"/>
      <c r="I82" s="27"/>
      <c r="J82" s="28"/>
      <c r="K82" s="4"/>
    </row>
    <row r="83" spans="1:11" x14ac:dyDescent="0.25">
      <c r="A83" s="27"/>
      <c r="B83" s="28"/>
      <c r="C83" s="27"/>
      <c r="D83" s="27"/>
      <c r="E83" s="27"/>
      <c r="F83" s="27"/>
      <c r="G83" s="27"/>
      <c r="H83" s="27"/>
      <c r="I83" s="27"/>
      <c r="J83" s="28"/>
      <c r="K83" s="4"/>
    </row>
    <row r="84" spans="1:11" x14ac:dyDescent="0.25">
      <c r="A84" s="27"/>
      <c r="B84" s="28"/>
      <c r="C84" s="27"/>
      <c r="D84" s="27"/>
      <c r="E84" s="27"/>
      <c r="F84" s="27"/>
      <c r="G84" s="27"/>
      <c r="H84" s="27"/>
      <c r="I84" s="27"/>
      <c r="J84" s="28"/>
      <c r="K84" s="4"/>
    </row>
    <row r="85" spans="1:11" x14ac:dyDescent="0.25">
      <c r="A85" s="27"/>
      <c r="B85" s="28"/>
      <c r="C85" s="27"/>
      <c r="D85" s="27"/>
      <c r="E85" s="27"/>
      <c r="F85" s="27"/>
      <c r="G85" s="27"/>
      <c r="H85" s="27"/>
      <c r="I85" s="27"/>
      <c r="J85" s="28"/>
      <c r="K85" s="4"/>
    </row>
    <row r="86" spans="1:11" x14ac:dyDescent="0.25">
      <c r="A86" s="27"/>
      <c r="B86" s="28"/>
      <c r="C86" s="27"/>
      <c r="D86" s="27"/>
      <c r="E86" s="27"/>
      <c r="F86" s="27"/>
      <c r="G86" s="27"/>
      <c r="H86" s="27"/>
      <c r="I86" s="27"/>
      <c r="J86" s="28"/>
      <c r="K86" s="4"/>
    </row>
    <row r="87" spans="1:11" x14ac:dyDescent="0.25">
      <c r="A87" s="27"/>
      <c r="B87" s="28"/>
      <c r="C87" s="27"/>
      <c r="D87" s="27"/>
      <c r="E87" s="27"/>
      <c r="F87" s="27"/>
      <c r="G87" s="27"/>
      <c r="H87" s="27"/>
      <c r="I87" s="27"/>
      <c r="J87" s="28"/>
      <c r="K87" s="4"/>
    </row>
    <row r="88" spans="1:11" x14ac:dyDescent="0.25">
      <c r="A88" s="27"/>
      <c r="B88" s="28"/>
      <c r="C88" s="27"/>
      <c r="D88" s="27"/>
      <c r="E88" s="27"/>
      <c r="F88" s="27"/>
      <c r="G88" s="27"/>
      <c r="H88" s="27"/>
      <c r="I88" s="27"/>
      <c r="J88" s="28"/>
      <c r="K88" s="4"/>
    </row>
    <row r="89" spans="1:11" x14ac:dyDescent="0.25">
      <c r="A89" s="27"/>
      <c r="B89" s="28"/>
      <c r="C89" s="27"/>
      <c r="D89" s="27"/>
      <c r="E89" s="27"/>
      <c r="F89" s="27"/>
      <c r="G89" s="27"/>
      <c r="H89" s="27"/>
      <c r="I89" s="27"/>
      <c r="J89" s="28"/>
      <c r="K89" s="4"/>
    </row>
    <row r="90" spans="1:11" x14ac:dyDescent="0.25">
      <c r="A90" s="27"/>
      <c r="B90" s="28"/>
      <c r="C90" s="27"/>
      <c r="D90" s="27"/>
      <c r="E90" s="27"/>
      <c r="F90" s="27"/>
      <c r="G90" s="27"/>
      <c r="H90" s="27"/>
      <c r="I90" s="27"/>
      <c r="J90" s="28"/>
      <c r="K90" s="4"/>
    </row>
    <row r="91" spans="1:11" x14ac:dyDescent="0.25">
      <c r="A91" s="27"/>
      <c r="B91" s="28"/>
      <c r="C91" s="27"/>
      <c r="D91" s="27"/>
      <c r="E91" s="27"/>
      <c r="F91" s="27"/>
      <c r="G91" s="27"/>
      <c r="H91" s="27"/>
      <c r="I91" s="27"/>
      <c r="J91" s="28"/>
      <c r="K91" s="4"/>
    </row>
    <row r="92" spans="1:11" x14ac:dyDescent="0.25">
      <c r="A92" s="27"/>
      <c r="B92" s="28"/>
      <c r="C92" s="27"/>
      <c r="D92" s="27"/>
      <c r="E92" s="27"/>
      <c r="F92" s="27"/>
      <c r="G92" s="27"/>
      <c r="H92" s="27"/>
      <c r="I92" s="27"/>
      <c r="J92" s="28"/>
      <c r="K92" s="4"/>
    </row>
    <row r="93" spans="1:11" x14ac:dyDescent="0.25">
      <c r="A93" s="27"/>
      <c r="B93" s="28"/>
      <c r="C93" s="27"/>
      <c r="D93" s="27"/>
      <c r="E93" s="27"/>
      <c r="F93" s="27"/>
      <c r="G93" s="27"/>
      <c r="H93" s="27"/>
      <c r="I93" s="27"/>
      <c r="J93" s="28"/>
      <c r="K93" s="4"/>
    </row>
    <row r="94" spans="1:11" x14ac:dyDescent="0.25">
      <c r="A94" s="27"/>
      <c r="B94" s="28"/>
      <c r="C94" s="27"/>
      <c r="D94" s="27"/>
      <c r="E94" s="27"/>
      <c r="F94" s="27"/>
      <c r="G94" s="27"/>
      <c r="H94" s="27"/>
      <c r="I94" s="27"/>
      <c r="J94" s="28"/>
      <c r="K94" s="4"/>
    </row>
    <row r="95" spans="1:11" x14ac:dyDescent="0.25">
      <c r="A95" s="27"/>
      <c r="B95" s="28"/>
      <c r="C95" s="27"/>
      <c r="D95" s="27"/>
      <c r="E95" s="27"/>
      <c r="F95" s="27"/>
      <c r="G95" s="27"/>
      <c r="H95" s="27"/>
      <c r="I95" s="27"/>
      <c r="J95" s="28"/>
      <c r="K95" s="4"/>
    </row>
    <row r="96" spans="1:11" x14ac:dyDescent="0.25">
      <c r="A96" s="27"/>
      <c r="B96" s="28"/>
      <c r="C96" s="27"/>
      <c r="D96" s="27"/>
      <c r="E96" s="27"/>
      <c r="F96" s="27"/>
      <c r="G96" s="27"/>
      <c r="H96" s="27"/>
      <c r="I96" s="27"/>
      <c r="J96" s="28"/>
      <c r="K96" s="4"/>
    </row>
    <row r="97" spans="1:11" x14ac:dyDescent="0.25">
      <c r="A97" s="27"/>
      <c r="B97" s="28"/>
      <c r="C97" s="27"/>
      <c r="D97" s="27"/>
      <c r="E97" s="27"/>
      <c r="F97" s="27"/>
      <c r="G97" s="27"/>
      <c r="H97" s="27"/>
      <c r="I97" s="27"/>
      <c r="J97" s="28"/>
      <c r="K97" s="4"/>
    </row>
    <row r="98" spans="1:11" x14ac:dyDescent="0.25">
      <c r="A98" s="27"/>
      <c r="B98" s="28"/>
      <c r="C98" s="27"/>
      <c r="D98" s="27"/>
      <c r="E98" s="27"/>
      <c r="F98" s="27"/>
      <c r="G98" s="27"/>
      <c r="H98" s="27"/>
      <c r="I98" s="27"/>
      <c r="J98" s="28"/>
      <c r="K98" s="4"/>
    </row>
    <row r="99" spans="1:11" x14ac:dyDescent="0.25">
      <c r="A99" s="27"/>
      <c r="B99" s="28"/>
      <c r="C99" s="27"/>
      <c r="D99" s="27"/>
      <c r="E99" s="27"/>
      <c r="F99" s="27"/>
      <c r="G99" s="27"/>
      <c r="H99" s="27"/>
      <c r="I99" s="27"/>
      <c r="J99" s="28"/>
      <c r="K99" s="4"/>
    </row>
    <row r="100" spans="1:11" x14ac:dyDescent="0.25">
      <c r="A100" s="27"/>
      <c r="B100" s="28"/>
      <c r="C100" s="27"/>
      <c r="D100" s="27"/>
      <c r="E100" s="27"/>
      <c r="F100" s="27"/>
      <c r="G100" s="27"/>
      <c r="H100" s="27"/>
      <c r="I100" s="27"/>
      <c r="J100" s="28"/>
      <c r="K100" s="4"/>
    </row>
    <row r="101" spans="1:11" x14ac:dyDescent="0.25">
      <c r="A101" s="27"/>
      <c r="B101" s="28"/>
      <c r="C101" s="27"/>
      <c r="D101" s="27"/>
      <c r="E101" s="27"/>
      <c r="F101" s="27"/>
      <c r="G101" s="27"/>
      <c r="H101" s="27"/>
      <c r="I101" s="27"/>
      <c r="J101" s="28"/>
      <c r="K101" s="4"/>
    </row>
    <row r="102" spans="1:11" x14ac:dyDescent="0.25">
      <c r="A102" s="27"/>
      <c r="B102" s="28"/>
      <c r="C102" s="27"/>
      <c r="D102" s="27"/>
      <c r="E102" s="27"/>
      <c r="F102" s="27"/>
      <c r="G102" s="27"/>
      <c r="H102" s="27"/>
      <c r="I102" s="27"/>
      <c r="J102" s="28"/>
      <c r="K102" s="4"/>
    </row>
    <row r="103" spans="1:11" x14ac:dyDescent="0.25">
      <c r="A103" s="27"/>
      <c r="B103" s="28"/>
      <c r="C103" s="27"/>
      <c r="D103" s="27"/>
      <c r="E103" s="27"/>
      <c r="F103" s="27"/>
      <c r="G103" s="27"/>
      <c r="H103" s="27"/>
      <c r="I103" s="27"/>
      <c r="J103" s="28"/>
      <c r="K103" s="4"/>
    </row>
    <row r="104" spans="1:11" x14ac:dyDescent="0.25">
      <c r="A104" s="27"/>
      <c r="B104" s="28"/>
      <c r="C104" s="27"/>
      <c r="D104" s="27"/>
      <c r="E104" s="27"/>
      <c r="F104" s="27"/>
      <c r="G104" s="27"/>
      <c r="H104" s="27"/>
      <c r="I104" s="27"/>
      <c r="J104" s="28"/>
      <c r="K104" s="4"/>
    </row>
    <row r="105" spans="1:11" x14ac:dyDescent="0.25">
      <c r="A105" s="27"/>
      <c r="B105" s="28"/>
      <c r="C105" s="27"/>
      <c r="D105" s="27"/>
      <c r="E105" s="27"/>
      <c r="F105" s="27"/>
      <c r="G105" s="27"/>
      <c r="H105" s="27"/>
      <c r="I105" s="27"/>
      <c r="J105" s="28"/>
      <c r="K105" s="4"/>
    </row>
    <row r="106" spans="1:11" x14ac:dyDescent="0.25">
      <c r="A106" s="27"/>
      <c r="B106" s="28"/>
      <c r="C106" s="27"/>
      <c r="D106" s="27"/>
      <c r="E106" s="27"/>
      <c r="F106" s="27"/>
      <c r="G106" s="27"/>
      <c r="H106" s="27"/>
      <c r="I106" s="27"/>
      <c r="J106" s="28"/>
      <c r="K106" s="4"/>
    </row>
    <row r="107" spans="1:11" x14ac:dyDescent="0.25">
      <c r="A107" s="27"/>
      <c r="B107" s="28"/>
      <c r="C107" s="27"/>
      <c r="D107" s="27"/>
      <c r="E107" s="27"/>
      <c r="F107" s="27"/>
      <c r="G107" s="27"/>
      <c r="H107" s="27"/>
      <c r="I107" s="27"/>
      <c r="J107" s="28"/>
      <c r="K107" s="4"/>
    </row>
    <row r="108" spans="1:11" x14ac:dyDescent="0.25">
      <c r="A108" s="27"/>
      <c r="B108" s="28"/>
      <c r="C108" s="27"/>
      <c r="D108" s="27"/>
      <c r="E108" s="27"/>
      <c r="F108" s="27"/>
      <c r="G108" s="27"/>
      <c r="H108" s="27"/>
      <c r="I108" s="27"/>
      <c r="J108" s="28"/>
      <c r="K108" s="4"/>
    </row>
    <row r="109" spans="1:11" x14ac:dyDescent="0.25">
      <c r="A109" s="27"/>
      <c r="B109" s="28"/>
      <c r="C109" s="27"/>
      <c r="D109" s="27"/>
      <c r="E109" s="27"/>
      <c r="F109" s="27"/>
      <c r="G109" s="27"/>
      <c r="H109" s="27"/>
      <c r="I109" s="27"/>
      <c r="J109" s="28"/>
      <c r="K109" s="4"/>
    </row>
    <row r="110" spans="1:11" x14ac:dyDescent="0.25">
      <c r="A110" s="27"/>
      <c r="B110" s="28"/>
      <c r="C110" s="27"/>
      <c r="D110" s="27"/>
      <c r="E110" s="27"/>
      <c r="F110" s="27"/>
      <c r="G110" s="27"/>
      <c r="H110" s="27"/>
      <c r="I110" s="27"/>
      <c r="J110" s="28"/>
      <c r="K110" s="4"/>
    </row>
    <row r="111" spans="1:11" x14ac:dyDescent="0.25">
      <c r="A111" s="27"/>
      <c r="B111" s="28"/>
      <c r="C111" s="27"/>
      <c r="D111" s="27"/>
      <c r="E111" s="27"/>
      <c r="F111" s="27"/>
      <c r="G111" s="27"/>
      <c r="H111" s="27"/>
      <c r="I111" s="27"/>
      <c r="J111" s="28"/>
      <c r="K111" s="4"/>
    </row>
    <row r="112" spans="1:11" x14ac:dyDescent="0.25">
      <c r="A112" s="27"/>
      <c r="B112" s="28"/>
      <c r="C112" s="27"/>
      <c r="D112" s="27"/>
      <c r="E112" s="27"/>
      <c r="F112" s="27"/>
      <c r="G112" s="27"/>
      <c r="H112" s="27"/>
      <c r="I112" s="27"/>
      <c r="J112" s="28"/>
      <c r="K112" s="4"/>
    </row>
    <row r="113" spans="1:11" x14ac:dyDescent="0.25">
      <c r="A113" s="27"/>
      <c r="B113" s="28"/>
      <c r="C113" s="27"/>
      <c r="D113" s="27"/>
      <c r="E113" s="27"/>
      <c r="F113" s="27"/>
      <c r="G113" s="27"/>
      <c r="H113" s="27"/>
      <c r="I113" s="27"/>
      <c r="J113" s="28"/>
      <c r="K113" s="4"/>
    </row>
    <row r="114" spans="1:11" x14ac:dyDescent="0.25">
      <c r="A114" s="27"/>
      <c r="B114" s="28"/>
      <c r="C114" s="27"/>
      <c r="D114" s="27"/>
      <c r="E114" s="27"/>
      <c r="F114" s="27"/>
      <c r="G114" s="27"/>
      <c r="H114" s="27"/>
      <c r="I114" s="27"/>
      <c r="J114" s="28"/>
      <c r="K114" s="4"/>
    </row>
    <row r="115" spans="1:11" x14ac:dyDescent="0.25">
      <c r="A115" s="27"/>
      <c r="B115" s="28"/>
      <c r="C115" s="27"/>
      <c r="D115" s="27"/>
      <c r="E115" s="27"/>
      <c r="F115" s="27"/>
      <c r="G115" s="27"/>
      <c r="H115" s="27"/>
      <c r="I115" s="27"/>
      <c r="J115" s="28"/>
      <c r="K115" s="4"/>
    </row>
    <row r="116" spans="1:11" x14ac:dyDescent="0.25">
      <c r="A116" s="27"/>
      <c r="B116" s="28"/>
      <c r="C116" s="27"/>
      <c r="D116" s="27"/>
      <c r="E116" s="27"/>
      <c r="F116" s="27"/>
      <c r="G116" s="27"/>
      <c r="H116" s="27"/>
      <c r="I116" s="27"/>
      <c r="J116" s="28"/>
      <c r="K116" s="4"/>
    </row>
    <row r="117" spans="1:11" x14ac:dyDescent="0.25">
      <c r="A117" s="27"/>
      <c r="B117" s="28"/>
      <c r="C117" s="27"/>
      <c r="D117" s="27"/>
      <c r="E117" s="27"/>
      <c r="F117" s="27"/>
      <c r="G117" s="27"/>
      <c r="H117" s="27"/>
      <c r="I117" s="27"/>
      <c r="J117" s="28"/>
      <c r="K117" s="4"/>
    </row>
    <row r="118" spans="1:11" x14ac:dyDescent="0.25">
      <c r="A118" s="27"/>
      <c r="B118" s="28"/>
      <c r="C118" s="27"/>
      <c r="D118" s="27"/>
      <c r="E118" s="27"/>
      <c r="F118" s="27"/>
      <c r="G118" s="27"/>
      <c r="H118" s="27"/>
      <c r="I118" s="27"/>
      <c r="J118" s="28"/>
      <c r="K118" s="4"/>
    </row>
    <row r="119" spans="1:11" x14ac:dyDescent="0.25">
      <c r="A119" s="27"/>
      <c r="B119" s="28"/>
      <c r="C119" s="27"/>
      <c r="D119" s="27"/>
      <c r="E119" s="27"/>
      <c r="F119" s="27"/>
      <c r="G119" s="27"/>
      <c r="H119" s="27"/>
      <c r="I119" s="27"/>
      <c r="J119" s="28"/>
      <c r="K119" s="4"/>
    </row>
    <row r="120" spans="1:11" x14ac:dyDescent="0.25">
      <c r="A120" s="27"/>
      <c r="B120" s="28"/>
      <c r="C120" s="27"/>
      <c r="D120" s="27"/>
      <c r="E120" s="27"/>
      <c r="F120" s="27"/>
      <c r="G120" s="27"/>
      <c r="H120" s="27"/>
      <c r="I120" s="27"/>
      <c r="J120" s="28"/>
      <c r="K120" s="4"/>
    </row>
    <row r="121" spans="1:11" x14ac:dyDescent="0.25">
      <c r="A121" s="27"/>
      <c r="B121" s="28"/>
      <c r="C121" s="27"/>
      <c r="D121" s="27"/>
      <c r="E121" s="27"/>
      <c r="F121" s="27"/>
      <c r="G121" s="27"/>
      <c r="H121" s="27"/>
      <c r="I121" s="27"/>
      <c r="J121" s="28"/>
      <c r="K121" s="4"/>
    </row>
    <row r="122" spans="1:11" x14ac:dyDescent="0.25">
      <c r="A122" s="27"/>
      <c r="B122" s="28"/>
      <c r="C122" s="27"/>
      <c r="D122" s="27"/>
      <c r="E122" s="27"/>
      <c r="F122" s="27"/>
      <c r="G122" s="27"/>
      <c r="H122" s="27"/>
      <c r="I122" s="27"/>
      <c r="J122" s="28"/>
      <c r="K122" s="4"/>
    </row>
    <row r="123" spans="1:11" x14ac:dyDescent="0.25">
      <c r="A123" s="27"/>
      <c r="B123" s="28"/>
      <c r="C123" s="27"/>
      <c r="D123" s="27"/>
      <c r="E123" s="27"/>
      <c r="F123" s="27"/>
      <c r="G123" s="27"/>
      <c r="H123" s="27"/>
      <c r="I123" s="27"/>
      <c r="J123" s="28"/>
      <c r="K123" s="4"/>
    </row>
    <row r="124" spans="1:11" x14ac:dyDescent="0.25">
      <c r="A124" s="27"/>
      <c r="B124" s="28"/>
      <c r="C124" s="27"/>
      <c r="D124" s="27"/>
      <c r="E124" s="27"/>
      <c r="F124" s="27"/>
      <c r="G124" s="27"/>
      <c r="H124" s="27"/>
      <c r="I124" s="27"/>
      <c r="J124" s="28"/>
      <c r="K124" s="4"/>
    </row>
    <row r="125" spans="1:11" x14ac:dyDescent="0.25">
      <c r="A125" s="27"/>
      <c r="B125" s="28"/>
      <c r="C125" s="27"/>
      <c r="D125" s="27"/>
      <c r="E125" s="27"/>
      <c r="F125" s="27"/>
      <c r="G125" s="27"/>
      <c r="H125" s="27"/>
      <c r="I125" s="27"/>
      <c r="J125" s="28"/>
      <c r="K125" s="4"/>
    </row>
    <row r="126" spans="1:11" x14ac:dyDescent="0.25">
      <c r="A126" s="27"/>
      <c r="B126" s="28"/>
      <c r="C126" s="27"/>
      <c r="D126" s="27"/>
      <c r="E126" s="27"/>
      <c r="F126" s="27"/>
      <c r="G126" s="27"/>
      <c r="H126" s="27"/>
      <c r="I126" s="27"/>
      <c r="J126" s="28"/>
      <c r="K126" s="4"/>
    </row>
    <row r="127" spans="1:11" x14ac:dyDescent="0.25">
      <c r="A127" s="27"/>
      <c r="B127" s="28"/>
      <c r="C127" s="27"/>
      <c r="D127" s="27"/>
      <c r="E127" s="27"/>
      <c r="F127" s="27"/>
      <c r="G127" s="27"/>
      <c r="H127" s="27"/>
      <c r="I127" s="27"/>
      <c r="J127" s="28"/>
      <c r="K127" s="4"/>
    </row>
    <row r="128" spans="1:11" x14ac:dyDescent="0.25">
      <c r="A128" s="27"/>
      <c r="B128" s="28"/>
      <c r="C128" s="27"/>
      <c r="D128" s="27"/>
      <c r="E128" s="27"/>
      <c r="F128" s="27"/>
      <c r="G128" s="27"/>
      <c r="H128" s="27"/>
      <c r="I128" s="27"/>
      <c r="J128" s="28"/>
      <c r="K128" s="4"/>
    </row>
    <row r="129" spans="1:11" x14ac:dyDescent="0.25">
      <c r="A129" s="27"/>
      <c r="B129" s="28"/>
      <c r="C129" s="27"/>
      <c r="D129" s="27"/>
      <c r="E129" s="27"/>
      <c r="F129" s="27"/>
      <c r="G129" s="27"/>
      <c r="H129" s="27"/>
      <c r="I129" s="27"/>
      <c r="J129" s="28"/>
      <c r="K129" s="4"/>
    </row>
    <row r="130" spans="1:11" x14ac:dyDescent="0.25">
      <c r="A130" s="27"/>
      <c r="B130" s="28"/>
      <c r="C130" s="27"/>
      <c r="D130" s="27"/>
      <c r="E130" s="27"/>
      <c r="F130" s="27"/>
      <c r="G130" s="27"/>
      <c r="H130" s="27"/>
      <c r="I130" s="27"/>
      <c r="J130" s="28"/>
      <c r="K130" s="4"/>
    </row>
    <row r="131" spans="1:11" x14ac:dyDescent="0.25">
      <c r="A131" s="27"/>
      <c r="B131" s="28"/>
      <c r="C131" s="27"/>
      <c r="D131" s="27"/>
      <c r="E131" s="27"/>
      <c r="F131" s="27"/>
      <c r="G131" s="27"/>
      <c r="H131" s="27"/>
      <c r="I131" s="27"/>
      <c r="J131" s="28"/>
      <c r="K131" s="4"/>
    </row>
    <row r="132" spans="1:11" x14ac:dyDescent="0.25">
      <c r="A132" s="27"/>
      <c r="B132" s="28"/>
      <c r="C132" s="27"/>
      <c r="D132" s="27"/>
      <c r="E132" s="27"/>
      <c r="F132" s="27"/>
      <c r="G132" s="27"/>
      <c r="H132" s="27"/>
      <c r="I132" s="27"/>
      <c r="J132" s="28"/>
      <c r="K132" s="4"/>
    </row>
    <row r="133" spans="1:11" x14ac:dyDescent="0.25">
      <c r="A133" s="27"/>
      <c r="B133" s="28"/>
      <c r="C133" s="27"/>
      <c r="D133" s="27"/>
      <c r="E133" s="27"/>
      <c r="F133" s="27"/>
      <c r="G133" s="27"/>
      <c r="H133" s="27"/>
      <c r="I133" s="27"/>
      <c r="J133" s="28"/>
      <c r="K133" s="4"/>
    </row>
    <row r="134" spans="1:11" x14ac:dyDescent="0.25">
      <c r="A134" s="27"/>
      <c r="B134" s="28"/>
      <c r="C134" s="27"/>
      <c r="D134" s="27"/>
      <c r="E134" s="27"/>
      <c r="F134" s="27"/>
      <c r="G134" s="27"/>
      <c r="H134" s="27"/>
      <c r="I134" s="27"/>
      <c r="J134" s="28"/>
      <c r="K134" s="4"/>
    </row>
    <row r="135" spans="1:11" x14ac:dyDescent="0.25">
      <c r="A135" s="27"/>
      <c r="B135" s="28"/>
      <c r="C135" s="27"/>
      <c r="D135" s="27"/>
      <c r="E135" s="27"/>
      <c r="F135" s="27"/>
      <c r="G135" s="27"/>
      <c r="H135" s="27"/>
      <c r="I135" s="27"/>
      <c r="J135" s="28"/>
      <c r="K135" s="4"/>
    </row>
    <row r="136" spans="1:11" x14ac:dyDescent="0.25">
      <c r="A136" s="27"/>
      <c r="B136" s="28"/>
      <c r="C136" s="27"/>
      <c r="D136" s="27"/>
      <c r="E136" s="27"/>
      <c r="F136" s="27"/>
      <c r="G136" s="27"/>
      <c r="H136" s="27"/>
      <c r="I136" s="27"/>
      <c r="J136" s="28"/>
      <c r="K136" s="4"/>
    </row>
    <row r="137" spans="1:11" x14ac:dyDescent="0.25">
      <c r="A137" s="27"/>
      <c r="B137" s="28"/>
      <c r="C137" s="27"/>
      <c r="D137" s="27"/>
      <c r="E137" s="27"/>
      <c r="F137" s="27"/>
      <c r="G137" s="27"/>
      <c r="H137" s="27"/>
      <c r="I137" s="27"/>
      <c r="J137" s="28"/>
      <c r="K137" s="4"/>
    </row>
    <row r="138" spans="1:11" x14ac:dyDescent="0.25">
      <c r="A138" s="27"/>
      <c r="B138" s="28"/>
      <c r="C138" s="27"/>
      <c r="D138" s="27"/>
      <c r="E138" s="27"/>
      <c r="F138" s="27"/>
      <c r="G138" s="27"/>
      <c r="H138" s="27"/>
      <c r="I138" s="27"/>
      <c r="J138" s="28"/>
      <c r="K138" s="4"/>
    </row>
    <row r="139" spans="1:11" x14ac:dyDescent="0.25">
      <c r="A139" s="27"/>
      <c r="B139" s="28"/>
      <c r="C139" s="27"/>
      <c r="D139" s="27"/>
      <c r="E139" s="27"/>
      <c r="F139" s="27"/>
      <c r="G139" s="27"/>
      <c r="H139" s="27"/>
      <c r="I139" s="27"/>
      <c r="J139" s="28"/>
      <c r="K139" s="4"/>
    </row>
    <row r="140" spans="1:11" x14ac:dyDescent="0.25">
      <c r="A140" s="27"/>
      <c r="B140" s="28"/>
      <c r="C140" s="27"/>
      <c r="D140" s="27"/>
      <c r="E140" s="27"/>
      <c r="F140" s="27"/>
      <c r="G140" s="27"/>
      <c r="H140" s="27"/>
      <c r="I140" s="27"/>
      <c r="J140" s="28"/>
      <c r="K140" s="4"/>
    </row>
    <row r="141" spans="1:11" x14ac:dyDescent="0.25">
      <c r="A141" s="27"/>
      <c r="B141" s="28"/>
      <c r="C141" s="27"/>
      <c r="D141" s="27"/>
      <c r="E141" s="27"/>
      <c r="F141" s="27"/>
      <c r="G141" s="27"/>
      <c r="H141" s="27"/>
      <c r="I141" s="27"/>
      <c r="J141" s="28"/>
      <c r="K141" s="4"/>
    </row>
    <row r="142" spans="1:11" x14ac:dyDescent="0.25">
      <c r="A142" s="27"/>
      <c r="B142" s="28"/>
      <c r="C142" s="27"/>
      <c r="D142" s="27"/>
      <c r="E142" s="27"/>
      <c r="F142" s="27"/>
      <c r="G142" s="27"/>
      <c r="H142" s="27"/>
      <c r="I142" s="27"/>
      <c r="J142" s="28"/>
      <c r="K142" s="4"/>
    </row>
    <row r="143" spans="1:11" x14ac:dyDescent="0.25">
      <c r="A143" s="27"/>
      <c r="B143" s="28"/>
      <c r="C143" s="27"/>
      <c r="D143" s="27"/>
      <c r="E143" s="27"/>
      <c r="F143" s="27"/>
      <c r="G143" s="27"/>
      <c r="H143" s="27"/>
      <c r="I143" s="27"/>
      <c r="J143" s="28"/>
      <c r="K143" s="4"/>
    </row>
    <row r="144" spans="1:11" x14ac:dyDescent="0.25">
      <c r="A144" s="27"/>
      <c r="B144" s="28"/>
      <c r="C144" s="27"/>
      <c r="D144" s="27"/>
      <c r="E144" s="27"/>
      <c r="F144" s="27"/>
      <c r="G144" s="27"/>
      <c r="H144" s="27"/>
      <c r="I144" s="27"/>
      <c r="J144" s="28"/>
      <c r="K144" s="4"/>
    </row>
    <row r="145" spans="1:11" x14ac:dyDescent="0.25">
      <c r="A145" s="27"/>
      <c r="B145" s="28"/>
      <c r="C145" s="27"/>
      <c r="D145" s="27"/>
      <c r="E145" s="27"/>
      <c r="F145" s="27"/>
      <c r="G145" s="27"/>
      <c r="H145" s="27"/>
      <c r="I145" s="27"/>
      <c r="J145" s="28"/>
      <c r="K145" s="4"/>
    </row>
    <row r="146" spans="1:11" x14ac:dyDescent="0.25">
      <c r="A146" s="27"/>
      <c r="B146" s="28"/>
      <c r="C146" s="27"/>
      <c r="D146" s="27"/>
      <c r="E146" s="27"/>
      <c r="F146" s="27"/>
      <c r="G146" s="27"/>
      <c r="H146" s="27"/>
      <c r="I146" s="27"/>
      <c r="J146" s="28"/>
      <c r="K146" s="4"/>
    </row>
    <row r="147" spans="1:11" x14ac:dyDescent="0.25">
      <c r="A147" s="27"/>
      <c r="B147" s="28"/>
      <c r="C147" s="27"/>
      <c r="D147" s="27"/>
      <c r="E147" s="27"/>
      <c r="F147" s="27"/>
      <c r="G147" s="27"/>
      <c r="H147" s="27"/>
      <c r="I147" s="27"/>
      <c r="J147" s="28"/>
      <c r="K147" s="4"/>
    </row>
    <row r="148" spans="1:11" x14ac:dyDescent="0.25">
      <c r="A148" s="27"/>
      <c r="B148" s="28"/>
      <c r="C148" s="27"/>
      <c r="D148" s="27"/>
      <c r="E148" s="27"/>
      <c r="F148" s="27"/>
      <c r="G148" s="27"/>
      <c r="H148" s="27"/>
      <c r="I148" s="27"/>
      <c r="J148" s="28"/>
      <c r="K148" s="4"/>
    </row>
    <row r="149" spans="1:11" x14ac:dyDescent="0.25">
      <c r="A149" s="27"/>
      <c r="B149" s="28"/>
      <c r="C149" s="27"/>
      <c r="D149" s="27"/>
      <c r="E149" s="27"/>
      <c r="F149" s="27"/>
      <c r="G149" s="27"/>
      <c r="H149" s="27"/>
      <c r="I149" s="27"/>
      <c r="J149" s="28"/>
      <c r="K149" s="4"/>
    </row>
    <row r="150" spans="1:11" x14ac:dyDescent="0.25">
      <c r="A150" s="27"/>
      <c r="B150" s="28"/>
      <c r="C150" s="27"/>
      <c r="D150" s="27"/>
      <c r="E150" s="27"/>
      <c r="F150" s="27"/>
      <c r="G150" s="27"/>
      <c r="H150" s="27"/>
      <c r="I150" s="27"/>
      <c r="J150" s="28"/>
      <c r="K150" s="4"/>
    </row>
    <row r="151" spans="1:11" x14ac:dyDescent="0.25">
      <c r="A151" s="27"/>
      <c r="B151" s="28"/>
      <c r="C151" s="27"/>
      <c r="D151" s="27"/>
      <c r="E151" s="27"/>
      <c r="F151" s="27"/>
      <c r="G151" s="27"/>
      <c r="H151" s="27"/>
      <c r="I151" s="27"/>
      <c r="J151" s="28"/>
      <c r="K151" s="4"/>
    </row>
    <row r="152" spans="1:11" x14ac:dyDescent="0.25">
      <c r="A152" s="27"/>
      <c r="B152" s="28"/>
      <c r="C152" s="27"/>
      <c r="D152" s="27"/>
      <c r="E152" s="27"/>
      <c r="F152" s="27"/>
      <c r="G152" s="27"/>
      <c r="H152" s="27"/>
      <c r="I152" s="27"/>
      <c r="J152" s="28"/>
      <c r="K152" s="4"/>
    </row>
    <row r="153" spans="1:11" x14ac:dyDescent="0.25">
      <c r="A153" s="27"/>
      <c r="B153" s="28"/>
      <c r="C153" s="27"/>
      <c r="D153" s="27"/>
      <c r="E153" s="27"/>
      <c r="F153" s="27"/>
      <c r="G153" s="27"/>
      <c r="H153" s="27"/>
      <c r="I153" s="27"/>
      <c r="J153" s="28"/>
      <c r="K153" s="4"/>
    </row>
    <row r="154" spans="1:11" x14ac:dyDescent="0.25">
      <c r="A154" s="27"/>
      <c r="B154" s="28"/>
      <c r="C154" s="27"/>
      <c r="D154" s="27"/>
      <c r="E154" s="27"/>
      <c r="F154" s="27"/>
      <c r="G154" s="27"/>
      <c r="H154" s="27"/>
      <c r="I154" s="27"/>
      <c r="J154" s="28"/>
      <c r="K154" s="4"/>
    </row>
    <row r="155" spans="1:11" x14ac:dyDescent="0.25">
      <c r="A155" s="27"/>
      <c r="B155" s="28"/>
      <c r="C155" s="27"/>
      <c r="D155" s="27"/>
      <c r="E155" s="27"/>
      <c r="F155" s="27"/>
      <c r="G155" s="27"/>
      <c r="H155" s="27"/>
      <c r="I155" s="27"/>
      <c r="J155" s="28"/>
      <c r="K155" s="4"/>
    </row>
    <row r="156" spans="1:11" x14ac:dyDescent="0.25">
      <c r="A156" s="27"/>
      <c r="B156" s="28"/>
      <c r="C156" s="27"/>
      <c r="D156" s="27"/>
      <c r="E156" s="27"/>
      <c r="F156" s="27"/>
      <c r="G156" s="27"/>
      <c r="H156" s="27"/>
      <c r="I156" s="27"/>
      <c r="J156" s="28"/>
      <c r="K156" s="4"/>
    </row>
    <row r="157" spans="1:11" x14ac:dyDescent="0.25">
      <c r="A157" s="27"/>
      <c r="B157" s="28"/>
      <c r="C157" s="27"/>
      <c r="D157" s="27"/>
      <c r="E157" s="27"/>
      <c r="F157" s="27"/>
      <c r="G157" s="27"/>
      <c r="H157" s="27"/>
      <c r="I157" s="27"/>
      <c r="J157" s="28"/>
      <c r="K157" s="4"/>
    </row>
    <row r="158" spans="1:11" x14ac:dyDescent="0.25">
      <c r="A158" s="27"/>
      <c r="B158" s="28"/>
      <c r="C158" s="27"/>
      <c r="D158" s="27"/>
      <c r="E158" s="27"/>
      <c r="F158" s="27"/>
      <c r="G158" s="27"/>
      <c r="H158" s="27"/>
      <c r="I158" s="27"/>
      <c r="J158" s="28"/>
      <c r="K158" s="4"/>
    </row>
    <row r="159" spans="1:11" x14ac:dyDescent="0.25">
      <c r="A159" s="27"/>
      <c r="B159" s="28"/>
      <c r="C159" s="27"/>
      <c r="D159" s="27"/>
      <c r="E159" s="27"/>
      <c r="F159" s="27"/>
      <c r="G159" s="27"/>
      <c r="H159" s="27"/>
      <c r="I159" s="27"/>
      <c r="J159" s="28"/>
      <c r="K159" s="4"/>
    </row>
    <row r="160" spans="1:11" x14ac:dyDescent="0.25">
      <c r="A160" s="27"/>
      <c r="B160" s="28"/>
      <c r="C160" s="27"/>
      <c r="D160" s="27"/>
      <c r="E160" s="27"/>
      <c r="F160" s="27"/>
      <c r="G160" s="27"/>
      <c r="H160" s="27"/>
      <c r="I160" s="27"/>
      <c r="J160" s="28"/>
      <c r="K160" s="4"/>
    </row>
    <row r="161" spans="1:11" x14ac:dyDescent="0.25">
      <c r="A161" s="27"/>
      <c r="B161" s="28"/>
      <c r="C161" s="27"/>
      <c r="D161" s="27"/>
      <c r="E161" s="27"/>
      <c r="F161" s="27"/>
      <c r="G161" s="27"/>
      <c r="H161" s="27"/>
      <c r="I161" s="27"/>
      <c r="J161" s="28"/>
      <c r="K161" s="4"/>
    </row>
    <row r="162" spans="1:11" x14ac:dyDescent="0.25">
      <c r="A162" s="27"/>
      <c r="B162" s="28"/>
      <c r="C162" s="27"/>
      <c r="D162" s="27"/>
      <c r="E162" s="27"/>
      <c r="F162" s="27"/>
      <c r="G162" s="27"/>
      <c r="H162" s="27"/>
      <c r="I162" s="27"/>
      <c r="J162" s="28"/>
      <c r="K162" s="4"/>
    </row>
    <row r="163" spans="1:11" x14ac:dyDescent="0.25">
      <c r="A163" s="27"/>
      <c r="B163" s="28"/>
      <c r="C163" s="27"/>
      <c r="D163" s="27"/>
      <c r="E163" s="27"/>
      <c r="F163" s="27"/>
      <c r="G163" s="27"/>
      <c r="H163" s="27"/>
      <c r="I163" s="27"/>
      <c r="J163" s="28"/>
      <c r="K163" s="4"/>
    </row>
    <row r="164" spans="1:11" x14ac:dyDescent="0.25">
      <c r="A164" s="27"/>
      <c r="B164" s="28"/>
      <c r="C164" s="27"/>
      <c r="D164" s="27"/>
      <c r="E164" s="27"/>
      <c r="F164" s="27"/>
      <c r="G164" s="27"/>
      <c r="H164" s="27"/>
      <c r="I164" s="27"/>
      <c r="J164" s="28"/>
      <c r="K164" s="4"/>
    </row>
    <row r="165" spans="1:11" x14ac:dyDescent="0.25">
      <c r="A165" s="27"/>
      <c r="B165" s="28"/>
      <c r="C165" s="27"/>
      <c r="D165" s="27"/>
      <c r="E165" s="27"/>
      <c r="F165" s="27"/>
      <c r="G165" s="27"/>
      <c r="H165" s="27"/>
      <c r="I165" s="27"/>
      <c r="J165" s="28"/>
      <c r="K165" s="4"/>
    </row>
    <row r="166" spans="1:11" x14ac:dyDescent="0.25">
      <c r="A166" s="27"/>
      <c r="B166" s="28"/>
      <c r="C166" s="27"/>
      <c r="D166" s="27"/>
      <c r="E166" s="27"/>
      <c r="F166" s="27"/>
      <c r="G166" s="27"/>
      <c r="H166" s="27"/>
      <c r="I166" s="27"/>
      <c r="J166" s="28"/>
      <c r="K166" s="4"/>
    </row>
    <row r="167" spans="1:11" x14ac:dyDescent="0.25">
      <c r="A167" s="27"/>
      <c r="B167" s="28"/>
      <c r="C167" s="27"/>
      <c r="D167" s="27"/>
      <c r="E167" s="27"/>
      <c r="F167" s="27"/>
      <c r="G167" s="27"/>
      <c r="H167" s="27"/>
      <c r="I167" s="27"/>
      <c r="J167" s="28"/>
      <c r="K167" s="4"/>
    </row>
    <row r="168" spans="1:11" x14ac:dyDescent="0.25">
      <c r="A168" s="27"/>
      <c r="B168" s="28"/>
      <c r="C168" s="27"/>
      <c r="D168" s="27"/>
      <c r="E168" s="27"/>
      <c r="F168" s="27"/>
      <c r="G168" s="27"/>
      <c r="H168" s="27"/>
      <c r="I168" s="27"/>
      <c r="J168" s="28"/>
      <c r="K168" s="4"/>
    </row>
    <row r="169" spans="1:11" x14ac:dyDescent="0.25">
      <c r="A169" s="27"/>
      <c r="B169" s="28"/>
      <c r="C169" s="27"/>
      <c r="D169" s="27"/>
      <c r="E169" s="27"/>
      <c r="F169" s="27"/>
      <c r="G169" s="27"/>
      <c r="H169" s="27"/>
      <c r="I169" s="27"/>
      <c r="J169" s="28"/>
      <c r="K169" s="4"/>
    </row>
    <row r="170" spans="1:11" x14ac:dyDescent="0.25">
      <c r="A170" s="27"/>
      <c r="B170" s="28"/>
      <c r="C170" s="27"/>
      <c r="D170" s="27"/>
      <c r="E170" s="27"/>
      <c r="F170" s="27"/>
      <c r="G170" s="27"/>
      <c r="H170" s="27"/>
      <c r="I170" s="27"/>
      <c r="J170" s="28"/>
      <c r="K170" s="4"/>
    </row>
    <row r="171" spans="1:11" x14ac:dyDescent="0.25">
      <c r="A171" s="27"/>
      <c r="B171" s="28"/>
      <c r="C171" s="27"/>
      <c r="D171" s="27"/>
      <c r="E171" s="27"/>
      <c r="F171" s="27"/>
      <c r="G171" s="27"/>
      <c r="H171" s="27"/>
      <c r="I171" s="27"/>
      <c r="J171" s="28"/>
      <c r="K171" s="4"/>
    </row>
    <row r="172" spans="1:11" x14ac:dyDescent="0.25">
      <c r="A172" s="27"/>
      <c r="B172" s="28"/>
      <c r="C172" s="27"/>
      <c r="D172" s="27"/>
      <c r="E172" s="27"/>
      <c r="F172" s="27"/>
      <c r="G172" s="27"/>
      <c r="H172" s="27"/>
      <c r="I172" s="27"/>
      <c r="J172" s="28"/>
      <c r="K172" s="4"/>
    </row>
    <row r="173" spans="1:11" x14ac:dyDescent="0.25">
      <c r="A173" s="27"/>
      <c r="B173" s="28"/>
      <c r="C173" s="27"/>
      <c r="D173" s="27"/>
      <c r="E173" s="27"/>
      <c r="F173" s="27"/>
      <c r="G173" s="27"/>
      <c r="H173" s="27"/>
      <c r="I173" s="27"/>
      <c r="J173" s="28"/>
      <c r="K173" s="4"/>
    </row>
    <row r="174" spans="1:11" x14ac:dyDescent="0.25">
      <c r="A174" s="27"/>
      <c r="B174" s="28"/>
      <c r="C174" s="27"/>
      <c r="D174" s="27"/>
      <c r="E174" s="27"/>
      <c r="F174" s="27"/>
      <c r="G174" s="27"/>
      <c r="H174" s="27"/>
      <c r="I174" s="27"/>
      <c r="J174" s="28"/>
      <c r="K174" s="4"/>
    </row>
    <row r="175" spans="1:11" x14ac:dyDescent="0.25">
      <c r="A175" s="27"/>
      <c r="B175" s="28"/>
      <c r="C175" s="27"/>
      <c r="D175" s="27"/>
      <c r="E175" s="27"/>
      <c r="F175" s="27"/>
      <c r="G175" s="27"/>
      <c r="H175" s="27"/>
      <c r="I175" s="27"/>
      <c r="J175" s="28"/>
      <c r="K175" s="4"/>
    </row>
    <row r="176" spans="1:11" x14ac:dyDescent="0.25">
      <c r="A176" s="27"/>
      <c r="B176" s="28"/>
      <c r="C176" s="27"/>
      <c r="D176" s="27"/>
      <c r="E176" s="27"/>
      <c r="F176" s="27"/>
      <c r="G176" s="27"/>
      <c r="H176" s="27"/>
      <c r="I176" s="27"/>
      <c r="J176" s="28"/>
      <c r="K176" s="4"/>
    </row>
    <row r="177" spans="1:11" x14ac:dyDescent="0.25">
      <c r="A177" s="27"/>
      <c r="B177" s="28"/>
      <c r="C177" s="27"/>
      <c r="D177" s="27"/>
      <c r="E177" s="27"/>
      <c r="F177" s="27"/>
      <c r="G177" s="27"/>
      <c r="H177" s="27"/>
      <c r="I177" s="27"/>
      <c r="J177" s="28"/>
      <c r="K177" s="4"/>
    </row>
    <row r="178" spans="1:11" x14ac:dyDescent="0.25">
      <c r="A178" s="27"/>
      <c r="B178" s="28"/>
      <c r="C178" s="27"/>
      <c r="D178" s="27"/>
      <c r="E178" s="27"/>
      <c r="F178" s="27"/>
      <c r="G178" s="27"/>
      <c r="H178" s="27"/>
      <c r="I178" s="27"/>
      <c r="J178" s="28"/>
      <c r="K178" s="4"/>
    </row>
    <row r="179" spans="1:11" x14ac:dyDescent="0.25">
      <c r="A179" s="27"/>
      <c r="B179" s="28"/>
      <c r="C179" s="27"/>
      <c r="D179" s="27"/>
      <c r="E179" s="27"/>
      <c r="F179" s="27"/>
      <c r="G179" s="27"/>
      <c r="H179" s="27"/>
      <c r="I179" s="27"/>
      <c r="J179" s="28"/>
      <c r="K179" s="4"/>
    </row>
    <row r="180" spans="1:11" x14ac:dyDescent="0.25">
      <c r="A180" s="27"/>
      <c r="B180" s="28"/>
      <c r="C180" s="27"/>
      <c r="D180" s="27"/>
      <c r="E180" s="27"/>
      <c r="F180" s="27"/>
      <c r="G180" s="27"/>
      <c r="H180" s="27"/>
      <c r="I180" s="27"/>
      <c r="J180" s="28"/>
      <c r="K180" s="4"/>
    </row>
    <row r="181" spans="1:11" x14ac:dyDescent="0.25">
      <c r="A181" s="27"/>
      <c r="B181" s="28"/>
      <c r="C181" s="27"/>
      <c r="D181" s="27"/>
      <c r="E181" s="27"/>
      <c r="F181" s="27"/>
      <c r="G181" s="27"/>
      <c r="H181" s="27"/>
      <c r="I181" s="27"/>
      <c r="J181" s="28"/>
      <c r="K181" s="4"/>
    </row>
    <row r="182" spans="1:11" x14ac:dyDescent="0.25">
      <c r="A182" s="27"/>
      <c r="B182" s="28"/>
      <c r="C182" s="27"/>
      <c r="D182" s="27"/>
      <c r="E182" s="27"/>
      <c r="F182" s="27"/>
      <c r="G182" s="27"/>
      <c r="H182" s="27"/>
      <c r="I182" s="27"/>
      <c r="J182" s="28"/>
      <c r="K182" s="4"/>
    </row>
    <row r="183" spans="1:11" x14ac:dyDescent="0.25">
      <c r="A183" s="27"/>
      <c r="B183" s="28"/>
      <c r="C183" s="27"/>
      <c r="D183" s="27"/>
      <c r="E183" s="27"/>
      <c r="F183" s="27"/>
      <c r="G183" s="27"/>
      <c r="H183" s="27"/>
      <c r="I183" s="27"/>
      <c r="J183" s="28"/>
      <c r="K183" s="4"/>
    </row>
    <row r="184" spans="1:11" x14ac:dyDescent="0.25">
      <c r="A184" s="27"/>
      <c r="B184" s="28"/>
      <c r="C184" s="27"/>
      <c r="D184" s="27"/>
      <c r="E184" s="27"/>
      <c r="F184" s="27"/>
      <c r="G184" s="27"/>
      <c r="H184" s="27"/>
      <c r="I184" s="27"/>
      <c r="J184" s="28"/>
      <c r="K184" s="4"/>
    </row>
    <row r="185" spans="1:11" x14ac:dyDescent="0.25">
      <c r="A185" s="27"/>
      <c r="B185" s="28"/>
      <c r="C185" s="27"/>
      <c r="D185" s="27"/>
      <c r="E185" s="27"/>
      <c r="F185" s="27"/>
      <c r="G185" s="27"/>
      <c r="H185" s="27"/>
      <c r="I185" s="27"/>
      <c r="J185" s="28"/>
      <c r="K185" s="4"/>
    </row>
    <row r="186" spans="1:11" x14ac:dyDescent="0.25">
      <c r="A186" s="27"/>
      <c r="B186" s="28"/>
      <c r="C186" s="27"/>
      <c r="D186" s="27"/>
      <c r="E186" s="27"/>
      <c r="F186" s="27"/>
      <c r="G186" s="27"/>
      <c r="H186" s="27"/>
      <c r="I186" s="27"/>
      <c r="J186" s="28"/>
      <c r="K186" s="4"/>
    </row>
    <row r="187" spans="1:11" x14ac:dyDescent="0.25">
      <c r="A187" s="27"/>
      <c r="B187" s="28"/>
      <c r="C187" s="27"/>
      <c r="D187" s="27"/>
      <c r="E187" s="27"/>
      <c r="F187" s="27"/>
      <c r="G187" s="27"/>
      <c r="H187" s="27"/>
      <c r="I187" s="27"/>
      <c r="J187" s="28"/>
      <c r="K187" s="4"/>
    </row>
    <row r="188" spans="1:11" x14ac:dyDescent="0.25">
      <c r="A188" s="27"/>
      <c r="B188" s="28"/>
      <c r="C188" s="27"/>
      <c r="D188" s="27"/>
      <c r="E188" s="27"/>
      <c r="F188" s="27"/>
      <c r="G188" s="27"/>
      <c r="H188" s="27"/>
      <c r="I188" s="27"/>
      <c r="J188" s="28"/>
      <c r="K188" s="4"/>
    </row>
    <row r="189" spans="1:11" x14ac:dyDescent="0.25">
      <c r="A189" s="27"/>
      <c r="B189" s="28"/>
      <c r="C189" s="27"/>
      <c r="D189" s="27"/>
      <c r="E189" s="27"/>
      <c r="F189" s="27"/>
      <c r="G189" s="27"/>
      <c r="H189" s="27"/>
      <c r="I189" s="27"/>
      <c r="J189" s="28"/>
      <c r="K189" s="4"/>
    </row>
    <row r="190" spans="1:11" x14ac:dyDescent="0.25">
      <c r="A190" s="27"/>
      <c r="B190" s="28"/>
      <c r="C190" s="27"/>
      <c r="D190" s="27"/>
      <c r="E190" s="27"/>
      <c r="F190" s="27"/>
      <c r="G190" s="27"/>
      <c r="H190" s="27"/>
      <c r="I190" s="27"/>
      <c r="J190" s="28"/>
      <c r="K190" s="4"/>
    </row>
    <row r="191" spans="1:11" x14ac:dyDescent="0.25">
      <c r="A191" s="27"/>
      <c r="B191" s="28"/>
      <c r="C191" s="27"/>
      <c r="D191" s="27"/>
      <c r="E191" s="27"/>
      <c r="F191" s="27"/>
      <c r="G191" s="27"/>
      <c r="H191" s="27"/>
      <c r="I191" s="27"/>
      <c r="J191" s="28"/>
      <c r="K191" s="4"/>
    </row>
    <row r="192" spans="1:11" x14ac:dyDescent="0.25">
      <c r="A192" s="27"/>
      <c r="B192" s="28"/>
      <c r="C192" s="27"/>
      <c r="D192" s="27"/>
      <c r="E192" s="27"/>
      <c r="F192" s="27"/>
      <c r="G192" s="27"/>
      <c r="H192" s="27"/>
      <c r="I192" s="27"/>
      <c r="J192" s="28"/>
      <c r="K192" s="4"/>
    </row>
    <row r="193" spans="1:11" x14ac:dyDescent="0.25">
      <c r="A193" s="27"/>
      <c r="B193" s="28"/>
      <c r="C193" s="27"/>
      <c r="D193" s="27"/>
      <c r="E193" s="27"/>
      <c r="F193" s="27"/>
      <c r="G193" s="27"/>
      <c r="H193" s="27"/>
      <c r="I193" s="27"/>
      <c r="J193" s="28"/>
      <c r="K193" s="4"/>
    </row>
    <row r="194" spans="1:11" x14ac:dyDescent="0.25">
      <c r="A194" s="27"/>
      <c r="B194" s="28"/>
      <c r="C194" s="27"/>
      <c r="D194" s="27"/>
      <c r="E194" s="27"/>
      <c r="F194" s="27"/>
      <c r="G194" s="27"/>
      <c r="H194" s="27"/>
      <c r="I194" s="27"/>
      <c r="J194" s="28"/>
      <c r="K194" s="4"/>
    </row>
    <row r="195" spans="1:11" x14ac:dyDescent="0.25">
      <c r="A195" s="27"/>
      <c r="B195" s="28"/>
      <c r="C195" s="27"/>
      <c r="D195" s="27"/>
      <c r="E195" s="27"/>
      <c r="F195" s="27"/>
      <c r="G195" s="27"/>
      <c r="H195" s="27"/>
      <c r="I195" s="27"/>
      <c r="J195" s="28"/>
      <c r="K195" s="4"/>
    </row>
    <row r="196" spans="1:11" x14ac:dyDescent="0.25">
      <c r="A196" s="27"/>
      <c r="B196" s="28"/>
      <c r="C196" s="27"/>
      <c r="D196" s="27"/>
      <c r="E196" s="27"/>
      <c r="F196" s="27"/>
      <c r="G196" s="27"/>
      <c r="H196" s="27"/>
      <c r="I196" s="27"/>
      <c r="J196" s="28"/>
      <c r="K196" s="4"/>
    </row>
    <row r="197" spans="1:11" x14ac:dyDescent="0.25">
      <c r="A197" s="27"/>
      <c r="B197" s="28"/>
      <c r="C197" s="27"/>
      <c r="D197" s="27"/>
      <c r="E197" s="27"/>
      <c r="F197" s="27"/>
      <c r="G197" s="27"/>
      <c r="H197" s="27"/>
      <c r="I197" s="27"/>
      <c r="J197" s="28"/>
      <c r="K197" s="4"/>
    </row>
    <row r="198" spans="1:11" x14ac:dyDescent="0.25">
      <c r="A198" s="27"/>
      <c r="B198" s="28"/>
      <c r="C198" s="27"/>
      <c r="D198" s="27"/>
      <c r="E198" s="27"/>
      <c r="F198" s="27"/>
      <c r="G198" s="27"/>
      <c r="H198" s="27"/>
      <c r="I198" s="27"/>
      <c r="J198" s="28"/>
      <c r="K198" s="4"/>
    </row>
    <row r="199" spans="1:11" x14ac:dyDescent="0.25">
      <c r="A199" s="27"/>
      <c r="B199" s="28"/>
      <c r="C199" s="27"/>
      <c r="D199" s="27"/>
      <c r="E199" s="27"/>
      <c r="F199" s="27"/>
      <c r="G199" s="27"/>
      <c r="H199" s="27"/>
      <c r="I199" s="27"/>
      <c r="J199" s="28"/>
      <c r="K199" s="4"/>
    </row>
    <row r="200" spans="1:11" x14ac:dyDescent="0.25">
      <c r="A200" s="27"/>
      <c r="B200" s="28"/>
      <c r="C200" s="27"/>
      <c r="D200" s="27"/>
      <c r="E200" s="27"/>
      <c r="F200" s="27"/>
      <c r="G200" s="27"/>
      <c r="H200" s="27"/>
      <c r="I200" s="27"/>
      <c r="J200" s="28"/>
      <c r="K200" s="4"/>
    </row>
    <row r="201" spans="1:11" x14ac:dyDescent="0.25">
      <c r="B201" s="5"/>
    </row>
    <row r="202" spans="1:11" x14ac:dyDescent="0.25">
      <c r="B202" s="5"/>
    </row>
    <row r="203" spans="1:11" x14ac:dyDescent="0.25">
      <c r="B203" s="5"/>
    </row>
    <row r="204" spans="1:11" x14ac:dyDescent="0.25">
      <c r="B204" s="5"/>
    </row>
    <row r="205" spans="1:11" x14ac:dyDescent="0.25">
      <c r="B205" s="5"/>
    </row>
    <row r="206" spans="1:11" x14ac:dyDescent="0.25">
      <c r="B206" s="5"/>
    </row>
    <row r="207" spans="1:11" x14ac:dyDescent="0.25">
      <c r="B207" s="5"/>
    </row>
    <row r="208" spans="1:11" x14ac:dyDescent="0.25">
      <c r="B208" s="5"/>
    </row>
    <row r="209" spans="2:2" x14ac:dyDescent="0.25">
      <c r="B209" s="5"/>
    </row>
    <row r="210" spans="2:2" x14ac:dyDescent="0.25">
      <c r="B210" s="5"/>
    </row>
    <row r="211" spans="2:2" x14ac:dyDescent="0.25">
      <c r="B211" s="5"/>
    </row>
    <row r="212" spans="2:2" x14ac:dyDescent="0.25">
      <c r="B212" s="5"/>
    </row>
    <row r="213" spans="2:2" x14ac:dyDescent="0.25">
      <c r="B213" s="5"/>
    </row>
    <row r="214" spans="2:2" x14ac:dyDescent="0.25">
      <c r="B214" s="5"/>
    </row>
    <row r="215" spans="2:2" x14ac:dyDescent="0.25">
      <c r="B215" s="5"/>
    </row>
    <row r="216" spans="2:2" x14ac:dyDescent="0.25">
      <c r="B216" s="5"/>
    </row>
    <row r="217" spans="2:2" x14ac:dyDescent="0.25">
      <c r="B217" s="5"/>
    </row>
    <row r="218" spans="2:2" x14ac:dyDescent="0.25">
      <c r="B218" s="5"/>
    </row>
    <row r="219" spans="2:2" x14ac:dyDescent="0.25">
      <c r="B219" s="5"/>
    </row>
    <row r="220" spans="2:2" x14ac:dyDescent="0.25">
      <c r="B220" s="5"/>
    </row>
    <row r="221" spans="2:2" x14ac:dyDescent="0.25">
      <c r="B221" s="5"/>
    </row>
    <row r="222" spans="2:2" x14ac:dyDescent="0.25">
      <c r="B222" s="5"/>
    </row>
    <row r="223" spans="2:2" x14ac:dyDescent="0.25">
      <c r="B223" s="5"/>
    </row>
    <row r="224" spans="2:2" x14ac:dyDescent="0.25">
      <c r="B224" s="5"/>
    </row>
    <row r="225" spans="2:2" x14ac:dyDescent="0.25">
      <c r="B225" s="5"/>
    </row>
    <row r="226" spans="2:2" x14ac:dyDescent="0.25">
      <c r="B226" s="5"/>
    </row>
    <row r="227" spans="2:2" x14ac:dyDescent="0.25">
      <c r="B227" s="5"/>
    </row>
    <row r="228" spans="2:2" x14ac:dyDescent="0.25">
      <c r="B228" s="5"/>
    </row>
    <row r="229" spans="2:2" x14ac:dyDescent="0.25">
      <c r="B229" s="5"/>
    </row>
    <row r="230" spans="2:2" x14ac:dyDescent="0.25">
      <c r="B230" s="5"/>
    </row>
    <row r="231" spans="2:2" x14ac:dyDescent="0.25">
      <c r="B231" s="5"/>
    </row>
    <row r="232" spans="2:2" x14ac:dyDescent="0.25">
      <c r="B232" s="5"/>
    </row>
    <row r="233" spans="2:2" x14ac:dyDescent="0.25">
      <c r="B233" s="5"/>
    </row>
    <row r="234" spans="2:2" x14ac:dyDescent="0.25">
      <c r="B234" s="5"/>
    </row>
    <row r="235" spans="2:2" x14ac:dyDescent="0.25">
      <c r="B235" s="5"/>
    </row>
    <row r="236" spans="2:2" x14ac:dyDescent="0.25">
      <c r="B236" s="5"/>
    </row>
    <row r="237" spans="2:2" x14ac:dyDescent="0.25">
      <c r="B237" s="5"/>
    </row>
    <row r="238" spans="2:2" x14ac:dyDescent="0.25">
      <c r="B238" s="5"/>
    </row>
    <row r="239" spans="2:2" x14ac:dyDescent="0.25">
      <c r="B239" s="5"/>
    </row>
    <row r="240" spans="2:2" x14ac:dyDescent="0.25">
      <c r="B240" s="5"/>
    </row>
    <row r="241" spans="2:2" x14ac:dyDescent="0.25">
      <c r="B241" s="5"/>
    </row>
    <row r="242" spans="2:2" x14ac:dyDescent="0.25">
      <c r="B242" s="5"/>
    </row>
    <row r="243" spans="2:2" x14ac:dyDescent="0.25">
      <c r="B243" s="5"/>
    </row>
    <row r="244" spans="2:2" x14ac:dyDescent="0.25">
      <c r="B244" s="5"/>
    </row>
    <row r="245" spans="2:2" x14ac:dyDescent="0.25">
      <c r="B245" s="5"/>
    </row>
    <row r="246" spans="2:2" x14ac:dyDescent="0.25">
      <c r="B246" s="5"/>
    </row>
    <row r="247" spans="2:2" x14ac:dyDescent="0.25">
      <c r="B247" s="5"/>
    </row>
    <row r="248" spans="2:2" x14ac:dyDescent="0.25">
      <c r="B248" s="5"/>
    </row>
    <row r="249" spans="2:2" x14ac:dyDescent="0.25">
      <c r="B249" s="5"/>
    </row>
    <row r="250" spans="2:2" x14ac:dyDescent="0.25">
      <c r="B250" s="5"/>
    </row>
    <row r="251" spans="2:2" x14ac:dyDescent="0.25">
      <c r="B251" s="5"/>
    </row>
    <row r="252" spans="2:2" x14ac:dyDescent="0.25">
      <c r="B252" s="5"/>
    </row>
    <row r="253" spans="2:2" x14ac:dyDescent="0.25">
      <c r="B253" s="5"/>
    </row>
    <row r="254" spans="2:2" x14ac:dyDescent="0.25">
      <c r="B254" s="5"/>
    </row>
    <row r="255" spans="2:2" x14ac:dyDescent="0.25">
      <c r="B255" s="5"/>
    </row>
    <row r="256" spans="2:2" x14ac:dyDescent="0.25">
      <c r="B256" s="5"/>
    </row>
    <row r="257" spans="2:2" x14ac:dyDescent="0.25">
      <c r="B257" s="5"/>
    </row>
    <row r="258" spans="2:2" x14ac:dyDescent="0.25">
      <c r="B258" s="5"/>
    </row>
    <row r="259" spans="2:2" x14ac:dyDescent="0.25">
      <c r="B259" s="5"/>
    </row>
    <row r="260" spans="2:2" x14ac:dyDescent="0.25">
      <c r="B260" s="5"/>
    </row>
    <row r="261" spans="2:2" x14ac:dyDescent="0.25">
      <c r="B261" s="5"/>
    </row>
    <row r="262" spans="2:2" x14ac:dyDescent="0.25">
      <c r="B262" s="5"/>
    </row>
    <row r="263" spans="2:2" x14ac:dyDescent="0.25">
      <c r="B263" s="5"/>
    </row>
    <row r="264" spans="2:2" x14ac:dyDescent="0.25">
      <c r="B264" s="5"/>
    </row>
    <row r="265" spans="2:2" x14ac:dyDescent="0.25">
      <c r="B265" s="5"/>
    </row>
    <row r="266" spans="2:2" x14ac:dyDescent="0.25">
      <c r="B266" s="5"/>
    </row>
    <row r="267" spans="2:2" x14ac:dyDescent="0.25">
      <c r="B267" s="5"/>
    </row>
    <row r="268" spans="2:2" x14ac:dyDescent="0.25">
      <c r="B268" s="5"/>
    </row>
    <row r="269" spans="2:2" x14ac:dyDescent="0.25">
      <c r="B269" s="5"/>
    </row>
    <row r="270" spans="2:2" x14ac:dyDescent="0.25">
      <c r="B270" s="5"/>
    </row>
    <row r="271" spans="2:2" x14ac:dyDescent="0.25">
      <c r="B271" s="5"/>
    </row>
    <row r="272" spans="2:2" x14ac:dyDescent="0.25">
      <c r="B272" s="5"/>
    </row>
    <row r="273" spans="2:2" x14ac:dyDescent="0.25">
      <c r="B273" s="5"/>
    </row>
    <row r="274" spans="2:2" x14ac:dyDescent="0.25">
      <c r="B274" s="5"/>
    </row>
    <row r="275" spans="2:2" x14ac:dyDescent="0.25">
      <c r="B275" s="5"/>
    </row>
    <row r="276" spans="2:2" x14ac:dyDescent="0.25">
      <c r="B276" s="5"/>
    </row>
    <row r="277" spans="2:2" x14ac:dyDescent="0.25">
      <c r="B277" s="5"/>
    </row>
    <row r="278" spans="2:2" x14ac:dyDescent="0.25">
      <c r="B278" s="5"/>
    </row>
    <row r="279" spans="2:2" x14ac:dyDescent="0.25">
      <c r="B279" s="5"/>
    </row>
    <row r="280" spans="2:2" x14ac:dyDescent="0.25">
      <c r="B280" s="5"/>
    </row>
    <row r="281" spans="2:2" x14ac:dyDescent="0.25">
      <c r="B281" s="5"/>
    </row>
    <row r="282" spans="2:2" x14ac:dyDescent="0.25">
      <c r="B282" s="5"/>
    </row>
    <row r="283" spans="2:2" x14ac:dyDescent="0.25">
      <c r="B283" s="5"/>
    </row>
    <row r="284" spans="2:2" x14ac:dyDescent="0.25">
      <c r="B284" s="5"/>
    </row>
    <row r="285" spans="2:2" x14ac:dyDescent="0.25">
      <c r="B285" s="5"/>
    </row>
    <row r="286" spans="2:2" x14ac:dyDescent="0.25">
      <c r="B286" s="5"/>
    </row>
    <row r="287" spans="2:2" x14ac:dyDescent="0.25">
      <c r="B287" s="5"/>
    </row>
    <row r="288" spans="2:2" x14ac:dyDescent="0.25">
      <c r="B288" s="5"/>
    </row>
    <row r="289" spans="2:2" x14ac:dyDescent="0.25">
      <c r="B289" s="5"/>
    </row>
    <row r="290" spans="2:2" x14ac:dyDescent="0.25">
      <c r="B290" s="5"/>
    </row>
    <row r="291" spans="2:2" x14ac:dyDescent="0.25">
      <c r="B291" s="5"/>
    </row>
    <row r="292" spans="2:2" x14ac:dyDescent="0.25">
      <c r="B292" s="5"/>
    </row>
    <row r="293" spans="2:2" x14ac:dyDescent="0.25">
      <c r="B293" s="5"/>
    </row>
    <row r="294" spans="2:2" x14ac:dyDescent="0.25">
      <c r="B294" s="5"/>
    </row>
    <row r="295" spans="2:2" x14ac:dyDescent="0.25">
      <c r="B295" s="5"/>
    </row>
    <row r="296" spans="2:2" x14ac:dyDescent="0.25">
      <c r="B296" s="5"/>
    </row>
    <row r="297" spans="2:2" x14ac:dyDescent="0.25">
      <c r="B297" s="5"/>
    </row>
    <row r="298" spans="2:2" x14ac:dyDescent="0.25">
      <c r="B298" s="5"/>
    </row>
    <row r="299" spans="2:2" x14ac:dyDescent="0.25">
      <c r="B299" s="5"/>
    </row>
    <row r="300" spans="2:2" x14ac:dyDescent="0.25">
      <c r="B300" s="5"/>
    </row>
  </sheetData>
  <mergeCells count="5">
    <mergeCell ref="A2:K2"/>
    <mergeCell ref="A1:K1"/>
    <mergeCell ref="A3:D3"/>
    <mergeCell ref="E3:H3"/>
    <mergeCell ref="I3:K3"/>
  </mergeCells>
  <conditionalFormatting sqref="J6:J300">
    <cfRule type="containsText" dxfId="55" priority="1" operator="containsText" text="Open"/>
    <cfRule type="containsText" dxfId="54" priority="3" operator="containsText" text="Approved"/>
    <cfRule type="containsText" dxfId="53" priority="5" operator="containsText" text="In Progress"/>
    <cfRule type="containsText" dxfId="52" priority="6" operator="containsText" text="Draft"/>
  </conditionalFormatting>
  <dataValidations count="1">
    <dataValidation type="list" allowBlank="1" sqref="J6:J300" xr:uid="{00000000-0002-0000-0100-000000000000}">
      <formula1>"Planned,In Progress,Complete,Rescheduled,Cancelled"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200"/>
  <sheetViews>
    <sheetView workbookViewId="0">
      <pane ySplit="3" topLeftCell="A4" activePane="bottomLeft" state="frozen"/>
      <selection pane="bottomLeft" activeCell="B6" sqref="B6"/>
    </sheetView>
  </sheetViews>
  <sheetFormatPr defaultRowHeight="15" x14ac:dyDescent="0.25"/>
  <cols>
    <col min="1" max="1" width="12" style="1" customWidth="1"/>
    <col min="2" max="2" width="24" style="1" customWidth="1"/>
    <col min="3" max="3" width="20" style="1" customWidth="1"/>
    <col min="4" max="4" width="16" style="1" customWidth="1"/>
    <col min="5" max="5" width="18" style="1" customWidth="1"/>
    <col min="6" max="6" width="16" style="1" customWidth="1"/>
    <col min="7" max="7" width="12" style="1" customWidth="1"/>
    <col min="8" max="8" width="16.140625" style="1" customWidth="1"/>
    <col min="9" max="9" width="20" style="1" customWidth="1"/>
    <col min="10" max="10" width="18" style="1" customWidth="1"/>
    <col min="11" max="11" width="12.85546875" style="1" bestFit="1" customWidth="1"/>
    <col min="12" max="12" width="13.42578125" style="1" bestFit="1" customWidth="1"/>
    <col min="13" max="13" width="12" style="1" customWidth="1"/>
    <col min="14" max="14" width="14" style="1" customWidth="1"/>
    <col min="15" max="15" width="18" style="1" customWidth="1"/>
    <col min="16" max="16" width="13.5703125" style="1" bestFit="1" customWidth="1"/>
    <col min="17" max="17" width="22.140625" style="1" bestFit="1" customWidth="1"/>
    <col min="18" max="18" width="10.42578125" style="1" bestFit="1" customWidth="1"/>
    <col min="19" max="20" width="10" style="1" customWidth="1"/>
    <col min="21" max="21" width="15" style="1" bestFit="1" customWidth="1"/>
    <col min="22" max="22" width="24" style="1" customWidth="1"/>
  </cols>
  <sheetData>
    <row r="1" spans="1:52" ht="24" customHeight="1" x14ac:dyDescent="0.25">
      <c r="A1" s="59" t="s">
        <v>11</v>
      </c>
      <c r="B1" s="59"/>
      <c r="C1" s="59"/>
      <c r="D1" s="59"/>
      <c r="E1" s="59"/>
      <c r="F1" s="59"/>
      <c r="G1" s="59"/>
      <c r="H1" s="59"/>
      <c r="I1" s="59"/>
      <c r="J1" s="59"/>
      <c r="K1" s="59"/>
      <c r="L1" s="59"/>
      <c r="M1" s="59"/>
      <c r="N1" s="59"/>
      <c r="O1" s="59"/>
      <c r="P1" s="59"/>
      <c r="Q1" s="59"/>
      <c r="R1" s="59"/>
      <c r="S1" s="59"/>
      <c r="T1" s="59"/>
      <c r="U1" s="59"/>
      <c r="V1" s="59"/>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88</v>
      </c>
      <c r="B2" s="57"/>
      <c r="C2" s="57"/>
      <c r="D2" s="57"/>
      <c r="E2" s="57"/>
      <c r="F2" s="57"/>
      <c r="G2" s="57"/>
      <c r="H2" s="57"/>
      <c r="I2" s="57"/>
      <c r="J2" s="57"/>
      <c r="K2" s="57"/>
      <c r="L2" s="57"/>
      <c r="M2" s="57"/>
      <c r="N2" s="57"/>
      <c r="O2" s="57"/>
      <c r="P2" s="57"/>
      <c r="Q2" s="57"/>
      <c r="R2" s="57"/>
      <c r="S2" s="57"/>
      <c r="T2" s="57"/>
      <c r="U2" s="57"/>
      <c r="V2" s="58"/>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77" t="s">
        <v>89</v>
      </c>
      <c r="B3" s="78"/>
      <c r="C3" s="78"/>
      <c r="D3" s="78"/>
      <c r="E3" s="78"/>
      <c r="F3" s="79"/>
      <c r="G3" s="99" t="s">
        <v>90</v>
      </c>
      <c r="H3" s="100"/>
      <c r="I3" s="100"/>
      <c r="J3" s="100"/>
      <c r="K3" s="100"/>
      <c r="L3" s="100"/>
      <c r="M3" s="100"/>
      <c r="N3" s="100"/>
      <c r="O3" s="101"/>
      <c r="P3" s="80" t="s">
        <v>91</v>
      </c>
      <c r="Q3" s="81"/>
      <c r="R3" s="81"/>
      <c r="S3" s="81"/>
      <c r="T3" s="81"/>
      <c r="U3" s="81"/>
      <c r="V3" s="8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7" x14ac:dyDescent="0.25">
      <c r="A4" s="87" t="s">
        <v>92</v>
      </c>
      <c r="B4" s="87" t="s">
        <v>93</v>
      </c>
      <c r="C4" s="87" t="s">
        <v>94</v>
      </c>
      <c r="D4" s="87" t="s">
        <v>95</v>
      </c>
      <c r="E4" s="87" t="s">
        <v>96</v>
      </c>
      <c r="F4" s="87" t="s">
        <v>97</v>
      </c>
      <c r="G4" s="89" t="s">
        <v>98</v>
      </c>
      <c r="H4" s="89" t="s">
        <v>99</v>
      </c>
      <c r="I4" s="89" t="s">
        <v>100</v>
      </c>
      <c r="J4" s="89" t="s">
        <v>101</v>
      </c>
      <c r="K4" s="89" t="s">
        <v>102</v>
      </c>
      <c r="L4" s="89" t="s">
        <v>103</v>
      </c>
      <c r="M4" s="89" t="s">
        <v>104</v>
      </c>
      <c r="N4" s="89" t="s">
        <v>105</v>
      </c>
      <c r="O4" s="89" t="s">
        <v>106</v>
      </c>
      <c r="P4" s="91" t="s">
        <v>107</v>
      </c>
      <c r="Q4" s="91" t="s">
        <v>108</v>
      </c>
      <c r="R4" s="91" t="s">
        <v>109</v>
      </c>
      <c r="S4" s="91" t="s">
        <v>110</v>
      </c>
      <c r="T4" s="91" t="s">
        <v>111</v>
      </c>
      <c r="U4" s="91" t="s">
        <v>112</v>
      </c>
      <c r="V4" s="91" t="s">
        <v>67</v>
      </c>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113</v>
      </c>
      <c r="B5" s="23" t="s">
        <v>114</v>
      </c>
      <c r="C5" s="23" t="s">
        <v>115</v>
      </c>
      <c r="D5" s="23" t="s">
        <v>116</v>
      </c>
      <c r="E5" s="23" t="s">
        <v>117</v>
      </c>
      <c r="F5" s="23" t="s">
        <v>118</v>
      </c>
      <c r="G5" s="23" t="s">
        <v>119</v>
      </c>
      <c r="H5" s="23" t="s">
        <v>120</v>
      </c>
      <c r="I5" s="23" t="s">
        <v>121</v>
      </c>
      <c r="J5" s="23" t="s">
        <v>122</v>
      </c>
      <c r="K5" s="23" t="s">
        <v>123</v>
      </c>
      <c r="L5" s="23" t="s">
        <v>124</v>
      </c>
      <c r="M5" s="23" t="s">
        <v>125</v>
      </c>
      <c r="N5" s="23" t="s">
        <v>126</v>
      </c>
      <c r="O5" s="23" t="s">
        <v>127</v>
      </c>
      <c r="P5" s="23" t="s">
        <v>128</v>
      </c>
      <c r="Q5" s="23" t="s">
        <v>129</v>
      </c>
      <c r="R5" s="23" t="s">
        <v>130</v>
      </c>
      <c r="S5" s="23" t="s">
        <v>131</v>
      </c>
      <c r="T5" s="23" t="s">
        <v>132</v>
      </c>
      <c r="U5" s="23" t="s">
        <v>133</v>
      </c>
      <c r="V5" s="23" t="s">
        <v>134</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54" x14ac:dyDescent="0.25">
      <c r="A6" s="27" t="s">
        <v>135</v>
      </c>
      <c r="B6" s="27" t="s">
        <v>81</v>
      </c>
      <c r="C6" s="27" t="s">
        <v>136</v>
      </c>
      <c r="D6" s="27" t="s">
        <v>137</v>
      </c>
      <c r="E6" s="27" t="s">
        <v>138</v>
      </c>
      <c r="F6" s="27" t="s">
        <v>139</v>
      </c>
      <c r="G6" s="27" t="s">
        <v>140</v>
      </c>
      <c r="H6" s="27" t="s">
        <v>141</v>
      </c>
      <c r="I6" s="27" t="s">
        <v>142</v>
      </c>
      <c r="J6" s="27" t="s">
        <v>143</v>
      </c>
      <c r="K6" s="27" t="s">
        <v>144</v>
      </c>
      <c r="L6" s="27" t="s">
        <v>145</v>
      </c>
      <c r="M6" s="27" t="s">
        <v>146</v>
      </c>
      <c r="N6" s="27" t="s">
        <v>147</v>
      </c>
      <c r="O6" s="27" t="s">
        <v>148</v>
      </c>
      <c r="P6" s="27" t="s">
        <v>141</v>
      </c>
      <c r="Q6" s="27" t="s">
        <v>149</v>
      </c>
      <c r="R6" s="27" t="s">
        <v>141</v>
      </c>
      <c r="S6" s="27" t="s">
        <v>150</v>
      </c>
      <c r="T6" s="27" t="s">
        <v>150</v>
      </c>
      <c r="U6" s="27" t="s">
        <v>141</v>
      </c>
      <c r="V6" s="27" t="s">
        <v>151</v>
      </c>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27" x14ac:dyDescent="0.25">
      <c r="A7" s="27" t="s">
        <v>152</v>
      </c>
      <c r="B7" s="27" t="s">
        <v>153</v>
      </c>
      <c r="C7" s="93" t="s">
        <v>593</v>
      </c>
      <c r="D7" s="27" t="s">
        <v>155</v>
      </c>
      <c r="E7" s="27" t="s">
        <v>156</v>
      </c>
      <c r="F7" s="27" t="s">
        <v>157</v>
      </c>
      <c r="G7" s="27" t="s">
        <v>158</v>
      </c>
      <c r="H7" s="27" t="s">
        <v>159</v>
      </c>
      <c r="I7" s="27" t="s">
        <v>160</v>
      </c>
      <c r="J7" s="27" t="s">
        <v>161</v>
      </c>
      <c r="K7" s="27" t="s">
        <v>162</v>
      </c>
      <c r="L7" s="27" t="s">
        <v>163</v>
      </c>
      <c r="M7" s="27" t="s">
        <v>164</v>
      </c>
      <c r="N7" s="27" t="s">
        <v>165</v>
      </c>
      <c r="O7" s="27" t="s">
        <v>166</v>
      </c>
      <c r="P7" s="27" t="s">
        <v>141</v>
      </c>
      <c r="Q7" s="27" t="s">
        <v>167</v>
      </c>
      <c r="R7" s="27" t="s">
        <v>159</v>
      </c>
      <c r="S7" s="27" t="s">
        <v>168</v>
      </c>
      <c r="T7" s="27" t="s">
        <v>168</v>
      </c>
      <c r="U7" s="27" t="s">
        <v>141</v>
      </c>
      <c r="V7" s="27" t="s">
        <v>169</v>
      </c>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7"/>
      <c r="D8" s="27"/>
      <c r="E8" s="27"/>
      <c r="F8" s="27"/>
      <c r="G8" s="27"/>
      <c r="H8" s="27"/>
      <c r="I8" s="27"/>
      <c r="J8" s="27"/>
      <c r="K8" s="27"/>
      <c r="L8" s="27"/>
      <c r="M8" s="27"/>
      <c r="N8" s="27"/>
      <c r="O8" s="27"/>
      <c r="P8" s="27"/>
      <c r="Q8" s="27"/>
      <c r="R8" s="27"/>
      <c r="S8" s="27"/>
      <c r="T8" s="27"/>
      <c r="U8" s="27"/>
      <c r="V8" s="27"/>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7"/>
      <c r="D9" s="27"/>
      <c r="E9" s="27"/>
      <c r="F9" s="27"/>
      <c r="G9" s="27"/>
      <c r="H9" s="27"/>
      <c r="I9" s="27"/>
      <c r="J9" s="27"/>
      <c r="K9" s="27"/>
      <c r="L9" s="27"/>
      <c r="M9" s="27"/>
      <c r="N9" s="27"/>
      <c r="O9" s="27"/>
      <c r="P9" s="27"/>
      <c r="Q9" s="27"/>
      <c r="R9" s="27"/>
      <c r="S9" s="27"/>
      <c r="T9" s="27"/>
      <c r="U9" s="27"/>
      <c r="V9" s="27"/>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7"/>
      <c r="D10" s="27"/>
      <c r="E10" s="27"/>
      <c r="F10" s="27"/>
      <c r="G10" s="27"/>
      <c r="H10" s="27"/>
      <c r="I10" s="27"/>
      <c r="J10" s="27"/>
      <c r="K10" s="27"/>
      <c r="L10" s="27"/>
      <c r="M10" s="27"/>
      <c r="N10" s="27"/>
      <c r="O10" s="27"/>
      <c r="P10" s="27"/>
      <c r="Q10" s="27"/>
      <c r="R10" s="27"/>
      <c r="S10" s="27"/>
      <c r="T10" s="27"/>
      <c r="U10" s="27"/>
      <c r="V10" s="27"/>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7"/>
      <c r="D11" s="27"/>
      <c r="E11" s="27"/>
      <c r="F11" s="27"/>
      <c r="G11" s="27"/>
      <c r="H11" s="27"/>
      <c r="I11" s="27"/>
      <c r="J11" s="27"/>
      <c r="K11" s="27"/>
      <c r="L11" s="27"/>
      <c r="M11" s="27"/>
      <c r="N11" s="27"/>
      <c r="O11" s="27"/>
      <c r="P11" s="27"/>
      <c r="Q11" s="27"/>
      <c r="R11" s="27"/>
      <c r="S11" s="27"/>
      <c r="T11" s="27"/>
      <c r="U11" s="27"/>
      <c r="V11" s="27"/>
    </row>
    <row r="12" spans="1:52" x14ac:dyDescent="0.25">
      <c r="A12" s="27"/>
      <c r="B12" s="27"/>
      <c r="C12" s="27"/>
      <c r="D12" s="27"/>
      <c r="E12" s="27"/>
      <c r="F12" s="27"/>
      <c r="G12" s="27"/>
      <c r="H12" s="27"/>
      <c r="I12" s="27"/>
      <c r="J12" s="27"/>
      <c r="K12" s="27"/>
      <c r="L12" s="27"/>
      <c r="M12" s="27"/>
      <c r="N12" s="27"/>
      <c r="O12" s="27"/>
      <c r="P12" s="27"/>
      <c r="Q12" s="27"/>
      <c r="R12" s="27"/>
      <c r="S12" s="27"/>
      <c r="T12" s="27"/>
      <c r="U12" s="27"/>
      <c r="V12" s="27"/>
    </row>
    <row r="13" spans="1:52" x14ac:dyDescent="0.25">
      <c r="A13" s="27"/>
      <c r="B13" s="27"/>
      <c r="C13" s="27"/>
      <c r="D13" s="27"/>
      <c r="E13" s="27"/>
      <c r="F13" s="27"/>
      <c r="G13" s="27"/>
      <c r="H13" s="27"/>
      <c r="I13" s="27"/>
      <c r="J13" s="27"/>
      <c r="K13" s="27"/>
      <c r="L13" s="27"/>
      <c r="M13" s="27"/>
      <c r="N13" s="27"/>
      <c r="O13" s="27"/>
      <c r="P13" s="27"/>
      <c r="Q13" s="27"/>
      <c r="R13" s="27"/>
      <c r="S13" s="27"/>
      <c r="T13" s="27"/>
      <c r="U13" s="27"/>
      <c r="V13" s="27"/>
    </row>
    <row r="14" spans="1:52" x14ac:dyDescent="0.25">
      <c r="A14" s="27"/>
      <c r="B14" s="27"/>
      <c r="C14" s="27"/>
      <c r="D14" s="27"/>
      <c r="E14" s="27"/>
      <c r="F14" s="27"/>
      <c r="G14" s="27"/>
      <c r="H14" s="27"/>
      <c r="I14" s="27"/>
      <c r="J14" s="27"/>
      <c r="K14" s="27"/>
      <c r="L14" s="27"/>
      <c r="M14" s="27"/>
      <c r="N14" s="27"/>
      <c r="O14" s="27"/>
      <c r="P14" s="27"/>
      <c r="Q14" s="27"/>
      <c r="R14" s="27"/>
      <c r="S14" s="27"/>
      <c r="T14" s="27"/>
      <c r="U14" s="27"/>
      <c r="V14" s="27"/>
    </row>
    <row r="15" spans="1:52" x14ac:dyDescent="0.25">
      <c r="A15" s="27"/>
      <c r="B15" s="27"/>
      <c r="C15" s="27"/>
      <c r="D15" s="27"/>
      <c r="E15" s="27"/>
      <c r="F15" s="27"/>
      <c r="G15" s="27"/>
      <c r="H15" s="27"/>
      <c r="I15" s="27"/>
      <c r="J15" s="27"/>
      <c r="K15" s="27"/>
      <c r="L15" s="27"/>
      <c r="M15" s="27"/>
      <c r="N15" s="27"/>
      <c r="O15" s="27"/>
      <c r="P15" s="27"/>
      <c r="Q15" s="27"/>
      <c r="R15" s="27"/>
      <c r="S15" s="27"/>
      <c r="T15" s="27"/>
      <c r="U15" s="27"/>
      <c r="V15" s="27"/>
    </row>
    <row r="16" spans="1:52" x14ac:dyDescent="0.25">
      <c r="A16" s="27"/>
      <c r="B16" s="27"/>
      <c r="C16" s="27"/>
      <c r="D16" s="27"/>
      <c r="E16" s="27"/>
      <c r="F16" s="27"/>
      <c r="G16" s="27"/>
      <c r="H16" s="27"/>
      <c r="I16" s="27"/>
      <c r="J16" s="27"/>
      <c r="K16" s="27"/>
      <c r="L16" s="27"/>
      <c r="M16" s="27"/>
      <c r="N16" s="27"/>
      <c r="O16" s="27"/>
      <c r="P16" s="27"/>
      <c r="Q16" s="27"/>
      <c r="R16" s="27"/>
      <c r="S16" s="27"/>
      <c r="T16" s="27"/>
      <c r="U16" s="27"/>
      <c r="V16" s="27"/>
    </row>
    <row r="17" spans="1:22" x14ac:dyDescent="0.25">
      <c r="A17" s="27"/>
      <c r="B17" s="27"/>
      <c r="C17" s="27"/>
      <c r="D17" s="27"/>
      <c r="E17" s="27"/>
      <c r="F17" s="27"/>
      <c r="G17" s="27"/>
      <c r="H17" s="27"/>
      <c r="I17" s="27"/>
      <c r="J17" s="27"/>
      <c r="K17" s="27"/>
      <c r="L17" s="27"/>
      <c r="M17" s="27"/>
      <c r="N17" s="27"/>
      <c r="O17" s="27"/>
      <c r="P17" s="27"/>
      <c r="Q17" s="27"/>
      <c r="R17" s="27"/>
      <c r="S17" s="27"/>
      <c r="T17" s="27"/>
      <c r="U17" s="27"/>
      <c r="V17" s="27"/>
    </row>
    <row r="18" spans="1:22" x14ac:dyDescent="0.25">
      <c r="A18" s="27"/>
      <c r="B18" s="27"/>
      <c r="C18" s="27"/>
      <c r="D18" s="27"/>
      <c r="E18" s="27"/>
      <c r="F18" s="27"/>
      <c r="G18" s="27"/>
      <c r="H18" s="27"/>
      <c r="I18" s="27"/>
      <c r="J18" s="27"/>
      <c r="K18" s="27"/>
      <c r="L18" s="27"/>
      <c r="M18" s="27"/>
      <c r="N18" s="27"/>
      <c r="O18" s="27"/>
      <c r="P18" s="27"/>
      <c r="Q18" s="27"/>
      <c r="R18" s="27"/>
      <c r="S18" s="27"/>
      <c r="T18" s="27"/>
      <c r="U18" s="27"/>
      <c r="V18" s="27"/>
    </row>
    <row r="19" spans="1:22" x14ac:dyDescent="0.25">
      <c r="A19" s="27"/>
      <c r="B19" s="27"/>
      <c r="C19" s="27"/>
      <c r="D19" s="27"/>
      <c r="E19" s="27"/>
      <c r="F19" s="27"/>
      <c r="G19" s="27"/>
      <c r="H19" s="27"/>
      <c r="I19" s="27"/>
      <c r="J19" s="27"/>
      <c r="K19" s="27"/>
      <c r="L19" s="27"/>
      <c r="M19" s="27"/>
      <c r="N19" s="27"/>
      <c r="O19" s="27"/>
      <c r="P19" s="27"/>
      <c r="Q19" s="27"/>
      <c r="R19" s="27"/>
      <c r="S19" s="27"/>
      <c r="T19" s="27"/>
      <c r="U19" s="27"/>
      <c r="V19" s="27"/>
    </row>
    <row r="20" spans="1:22" x14ac:dyDescent="0.25">
      <c r="A20" s="27"/>
      <c r="B20" s="27"/>
      <c r="C20" s="27"/>
      <c r="D20" s="27"/>
      <c r="E20" s="27"/>
      <c r="F20" s="27"/>
      <c r="G20" s="27"/>
      <c r="H20" s="27"/>
      <c r="I20" s="27"/>
      <c r="J20" s="27"/>
      <c r="K20" s="27"/>
      <c r="L20" s="27"/>
      <c r="M20" s="27"/>
      <c r="N20" s="27"/>
      <c r="O20" s="27"/>
      <c r="P20" s="27"/>
      <c r="Q20" s="27"/>
      <c r="R20" s="27"/>
      <c r="S20" s="27"/>
      <c r="T20" s="27"/>
      <c r="U20" s="27"/>
      <c r="V20" s="27"/>
    </row>
    <row r="21" spans="1:22" x14ac:dyDescent="0.25">
      <c r="A21" s="27"/>
      <c r="B21" s="27"/>
      <c r="C21" s="27"/>
      <c r="D21" s="27"/>
      <c r="E21" s="27"/>
      <c r="F21" s="27"/>
      <c r="G21" s="27"/>
      <c r="H21" s="27"/>
      <c r="I21" s="27"/>
      <c r="J21" s="27"/>
      <c r="K21" s="27"/>
      <c r="L21" s="27"/>
      <c r="M21" s="27"/>
      <c r="N21" s="27"/>
      <c r="O21" s="27"/>
      <c r="P21" s="27"/>
      <c r="Q21" s="27"/>
      <c r="R21" s="27"/>
      <c r="S21" s="27"/>
      <c r="T21" s="27"/>
      <c r="U21" s="27"/>
      <c r="V21" s="27"/>
    </row>
    <row r="22" spans="1:22" x14ac:dyDescent="0.25">
      <c r="A22" s="27"/>
      <c r="B22" s="27"/>
      <c r="C22" s="27"/>
      <c r="D22" s="27"/>
      <c r="E22" s="27"/>
      <c r="F22" s="27"/>
      <c r="G22" s="27"/>
      <c r="H22" s="27"/>
      <c r="I22" s="27"/>
      <c r="J22" s="27"/>
      <c r="K22" s="27"/>
      <c r="L22" s="27"/>
      <c r="M22" s="27"/>
      <c r="N22" s="27"/>
      <c r="O22" s="27"/>
      <c r="P22" s="27"/>
      <c r="Q22" s="27"/>
      <c r="R22" s="27"/>
      <c r="S22" s="27"/>
      <c r="T22" s="27"/>
      <c r="U22" s="27"/>
      <c r="V22" s="27"/>
    </row>
    <row r="23" spans="1:22" x14ac:dyDescent="0.25">
      <c r="A23" s="27"/>
      <c r="B23" s="27"/>
      <c r="C23" s="27"/>
      <c r="D23" s="27"/>
      <c r="E23" s="27"/>
      <c r="F23" s="27"/>
      <c r="G23" s="27"/>
      <c r="H23" s="27"/>
      <c r="I23" s="27"/>
      <c r="J23" s="27"/>
      <c r="K23" s="27"/>
      <c r="L23" s="27"/>
      <c r="M23" s="27"/>
      <c r="N23" s="27"/>
      <c r="O23" s="27"/>
      <c r="P23" s="27"/>
      <c r="Q23" s="27"/>
      <c r="R23" s="27"/>
      <c r="S23" s="27"/>
      <c r="T23" s="27"/>
      <c r="U23" s="27"/>
      <c r="V23" s="27"/>
    </row>
    <row r="24" spans="1:22" x14ac:dyDescent="0.25">
      <c r="A24" s="27"/>
      <c r="B24" s="27"/>
      <c r="C24" s="27"/>
      <c r="D24" s="27"/>
      <c r="E24" s="27"/>
      <c r="F24" s="27"/>
      <c r="G24" s="27"/>
      <c r="H24" s="27"/>
      <c r="I24" s="27"/>
      <c r="J24" s="27"/>
      <c r="K24" s="27"/>
      <c r="L24" s="27"/>
      <c r="M24" s="27"/>
      <c r="N24" s="27"/>
      <c r="O24" s="27"/>
      <c r="P24" s="27"/>
      <c r="Q24" s="27"/>
      <c r="R24" s="27"/>
      <c r="S24" s="27"/>
      <c r="T24" s="27"/>
      <c r="U24" s="27"/>
      <c r="V24" s="27"/>
    </row>
    <row r="25" spans="1:22" x14ac:dyDescent="0.25">
      <c r="A25" s="27"/>
      <c r="B25" s="27"/>
      <c r="C25" s="27"/>
      <c r="D25" s="27"/>
      <c r="E25" s="27"/>
      <c r="F25" s="27"/>
      <c r="G25" s="27"/>
      <c r="H25" s="27"/>
      <c r="I25" s="27"/>
      <c r="J25" s="27"/>
      <c r="K25" s="27"/>
      <c r="L25" s="27"/>
      <c r="M25" s="27"/>
      <c r="N25" s="27"/>
      <c r="O25" s="27"/>
      <c r="P25" s="27"/>
      <c r="Q25" s="27"/>
      <c r="R25" s="27"/>
      <c r="S25" s="27"/>
      <c r="T25" s="27"/>
      <c r="U25" s="27"/>
      <c r="V25" s="27"/>
    </row>
    <row r="26" spans="1:22" x14ac:dyDescent="0.25">
      <c r="A26" s="27"/>
      <c r="B26" s="27"/>
      <c r="C26" s="27"/>
      <c r="D26" s="27"/>
      <c r="E26" s="27"/>
      <c r="F26" s="27"/>
      <c r="G26" s="27"/>
      <c r="H26" s="27"/>
      <c r="I26" s="27"/>
      <c r="J26" s="27"/>
      <c r="K26" s="27"/>
      <c r="L26" s="27"/>
      <c r="M26" s="27"/>
      <c r="N26" s="27"/>
      <c r="O26" s="27"/>
      <c r="P26" s="27"/>
      <c r="Q26" s="27"/>
      <c r="R26" s="27"/>
      <c r="S26" s="27"/>
      <c r="T26" s="27"/>
      <c r="U26" s="27"/>
      <c r="V26" s="27"/>
    </row>
    <row r="27" spans="1:22" x14ac:dyDescent="0.25">
      <c r="A27" s="27"/>
      <c r="B27" s="27"/>
      <c r="C27" s="27"/>
      <c r="D27" s="27"/>
      <c r="E27" s="27"/>
      <c r="F27" s="27"/>
      <c r="G27" s="27"/>
      <c r="H27" s="27"/>
      <c r="I27" s="27"/>
      <c r="J27" s="27"/>
      <c r="K27" s="27"/>
      <c r="L27" s="27"/>
      <c r="M27" s="27"/>
      <c r="N27" s="27"/>
      <c r="O27" s="27"/>
      <c r="P27" s="27"/>
      <c r="Q27" s="27"/>
      <c r="R27" s="27"/>
      <c r="S27" s="27"/>
      <c r="T27" s="27"/>
      <c r="U27" s="27"/>
      <c r="V27" s="27"/>
    </row>
    <row r="28" spans="1:22" x14ac:dyDescent="0.25">
      <c r="A28" s="27"/>
      <c r="B28" s="27"/>
      <c r="C28" s="27"/>
      <c r="D28" s="27"/>
      <c r="E28" s="27"/>
      <c r="F28" s="27"/>
      <c r="G28" s="27"/>
      <c r="H28" s="27"/>
      <c r="I28" s="27"/>
      <c r="J28" s="27"/>
      <c r="K28" s="27"/>
      <c r="L28" s="27"/>
      <c r="M28" s="27"/>
      <c r="N28" s="27"/>
      <c r="O28" s="27"/>
      <c r="P28" s="27"/>
      <c r="Q28" s="27"/>
      <c r="R28" s="27"/>
      <c r="S28" s="27"/>
      <c r="T28" s="27"/>
      <c r="U28" s="27"/>
      <c r="V28" s="27"/>
    </row>
    <row r="29" spans="1:22" x14ac:dyDescent="0.25">
      <c r="A29" s="27"/>
      <c r="B29" s="27"/>
      <c r="C29" s="27"/>
      <c r="D29" s="27"/>
      <c r="E29" s="27"/>
      <c r="F29" s="27"/>
      <c r="G29" s="27"/>
      <c r="H29" s="27"/>
      <c r="I29" s="27"/>
      <c r="J29" s="27"/>
      <c r="K29" s="27"/>
      <c r="L29" s="27"/>
      <c r="M29" s="27"/>
      <c r="N29" s="27"/>
      <c r="O29" s="27"/>
      <c r="P29" s="27"/>
      <c r="Q29" s="27"/>
      <c r="R29" s="27"/>
      <c r="S29" s="27"/>
      <c r="T29" s="27"/>
      <c r="U29" s="27"/>
      <c r="V29" s="27"/>
    </row>
    <row r="30" spans="1:22" x14ac:dyDescent="0.25">
      <c r="A30" s="27"/>
      <c r="B30" s="27"/>
      <c r="C30" s="27"/>
      <c r="D30" s="27"/>
      <c r="E30" s="27"/>
      <c r="F30" s="27"/>
      <c r="G30" s="27"/>
      <c r="H30" s="27"/>
      <c r="I30" s="27"/>
      <c r="J30" s="27"/>
      <c r="K30" s="27"/>
      <c r="L30" s="27"/>
      <c r="M30" s="27"/>
      <c r="N30" s="27"/>
      <c r="O30" s="27"/>
      <c r="P30" s="27"/>
      <c r="Q30" s="27"/>
      <c r="R30" s="27"/>
      <c r="S30" s="27"/>
      <c r="T30" s="27"/>
      <c r="U30" s="27"/>
      <c r="V30" s="27"/>
    </row>
    <row r="31" spans="1:22" x14ac:dyDescent="0.25">
      <c r="A31" s="27"/>
      <c r="B31" s="27"/>
      <c r="C31" s="27"/>
      <c r="D31" s="27"/>
      <c r="E31" s="27"/>
      <c r="F31" s="27"/>
      <c r="G31" s="27"/>
      <c r="H31" s="27"/>
      <c r="I31" s="27"/>
      <c r="J31" s="27"/>
      <c r="K31" s="27"/>
      <c r="L31" s="27"/>
      <c r="M31" s="27"/>
      <c r="N31" s="27"/>
      <c r="O31" s="27"/>
      <c r="P31" s="27"/>
      <c r="Q31" s="27"/>
      <c r="R31" s="27"/>
      <c r="S31" s="27"/>
      <c r="T31" s="27"/>
      <c r="U31" s="27"/>
      <c r="V31" s="27"/>
    </row>
    <row r="32" spans="1:22" x14ac:dyDescent="0.25">
      <c r="A32" s="27"/>
      <c r="B32" s="27"/>
      <c r="C32" s="27"/>
      <c r="D32" s="27"/>
      <c r="E32" s="27"/>
      <c r="F32" s="27"/>
      <c r="G32" s="27"/>
      <c r="H32" s="27"/>
      <c r="I32" s="27"/>
      <c r="J32" s="27"/>
      <c r="K32" s="27"/>
      <c r="L32" s="27"/>
      <c r="M32" s="27"/>
      <c r="N32" s="27"/>
      <c r="O32" s="27"/>
      <c r="P32" s="27"/>
      <c r="Q32" s="27"/>
      <c r="R32" s="27"/>
      <c r="S32" s="27"/>
      <c r="T32" s="27"/>
      <c r="U32" s="27"/>
      <c r="V32" s="27"/>
    </row>
    <row r="33" spans="1:22" x14ac:dyDescent="0.25">
      <c r="A33" s="27"/>
      <c r="B33" s="27"/>
      <c r="C33" s="27"/>
      <c r="D33" s="27"/>
      <c r="E33" s="27"/>
      <c r="F33" s="27"/>
      <c r="G33" s="27"/>
      <c r="H33" s="27"/>
      <c r="I33" s="27"/>
      <c r="J33" s="27"/>
      <c r="K33" s="27"/>
      <c r="L33" s="27"/>
      <c r="M33" s="27"/>
      <c r="N33" s="27"/>
      <c r="O33" s="27"/>
      <c r="P33" s="27"/>
      <c r="Q33" s="27"/>
      <c r="R33" s="27"/>
      <c r="S33" s="27"/>
      <c r="T33" s="27"/>
      <c r="U33" s="27"/>
      <c r="V33" s="27"/>
    </row>
    <row r="34" spans="1:22" x14ac:dyDescent="0.25">
      <c r="A34" s="27"/>
      <c r="B34" s="27"/>
      <c r="C34" s="27"/>
      <c r="D34" s="27"/>
      <c r="E34" s="27"/>
      <c r="F34" s="27"/>
      <c r="G34" s="27"/>
      <c r="H34" s="27"/>
      <c r="I34" s="27"/>
      <c r="J34" s="27"/>
      <c r="K34" s="27"/>
      <c r="L34" s="27"/>
      <c r="M34" s="27"/>
      <c r="N34" s="27"/>
      <c r="O34" s="27"/>
      <c r="P34" s="27"/>
      <c r="Q34" s="27"/>
      <c r="R34" s="27"/>
      <c r="S34" s="27"/>
      <c r="T34" s="27"/>
      <c r="U34" s="27"/>
      <c r="V34" s="27"/>
    </row>
    <row r="35" spans="1:22" x14ac:dyDescent="0.25">
      <c r="A35" s="27"/>
      <c r="B35" s="27"/>
      <c r="C35" s="27"/>
      <c r="D35" s="27"/>
      <c r="E35" s="27"/>
      <c r="F35" s="27"/>
      <c r="G35" s="27"/>
      <c r="H35" s="27"/>
      <c r="I35" s="27"/>
      <c r="J35" s="27"/>
      <c r="K35" s="27"/>
      <c r="L35" s="27"/>
      <c r="M35" s="27"/>
      <c r="N35" s="27"/>
      <c r="O35" s="27"/>
      <c r="P35" s="27"/>
      <c r="Q35" s="27"/>
      <c r="R35" s="27"/>
      <c r="S35" s="27"/>
      <c r="T35" s="27"/>
      <c r="U35" s="27"/>
      <c r="V35" s="27"/>
    </row>
    <row r="36" spans="1:22" x14ac:dyDescent="0.25">
      <c r="A36" s="27"/>
      <c r="B36" s="27"/>
      <c r="C36" s="27"/>
      <c r="D36" s="27"/>
      <c r="E36" s="27"/>
      <c r="F36" s="27"/>
      <c r="G36" s="27"/>
      <c r="H36" s="27"/>
      <c r="I36" s="27"/>
      <c r="J36" s="27"/>
      <c r="K36" s="27"/>
      <c r="L36" s="27"/>
      <c r="M36" s="27"/>
      <c r="N36" s="27"/>
      <c r="O36" s="27"/>
      <c r="P36" s="27"/>
      <c r="Q36" s="27"/>
      <c r="R36" s="27"/>
      <c r="S36" s="27"/>
      <c r="T36" s="27"/>
      <c r="U36" s="27"/>
      <c r="V36" s="27"/>
    </row>
    <row r="37" spans="1:22" x14ac:dyDescent="0.25">
      <c r="A37" s="27"/>
      <c r="B37" s="27"/>
      <c r="C37" s="27"/>
      <c r="D37" s="27"/>
      <c r="E37" s="27"/>
      <c r="F37" s="27"/>
      <c r="G37" s="27"/>
      <c r="H37" s="27"/>
      <c r="I37" s="27"/>
      <c r="J37" s="27"/>
      <c r="K37" s="27"/>
      <c r="L37" s="27"/>
      <c r="M37" s="27"/>
      <c r="N37" s="27"/>
      <c r="O37" s="27"/>
      <c r="P37" s="27"/>
      <c r="Q37" s="27"/>
      <c r="R37" s="27"/>
      <c r="S37" s="27"/>
      <c r="T37" s="27"/>
      <c r="U37" s="27"/>
      <c r="V37" s="27"/>
    </row>
    <row r="38" spans="1:22" x14ac:dyDescent="0.25">
      <c r="A38" s="27"/>
      <c r="B38" s="27"/>
      <c r="C38" s="27"/>
      <c r="D38" s="27"/>
      <c r="E38" s="27"/>
      <c r="F38" s="27"/>
      <c r="G38" s="27"/>
      <c r="H38" s="27"/>
      <c r="I38" s="27"/>
      <c r="J38" s="27"/>
      <c r="K38" s="27"/>
      <c r="L38" s="27"/>
      <c r="M38" s="27"/>
      <c r="N38" s="27"/>
      <c r="O38" s="27"/>
      <c r="P38" s="27"/>
      <c r="Q38" s="27"/>
      <c r="R38" s="27"/>
      <c r="S38" s="27"/>
      <c r="T38" s="27"/>
      <c r="U38" s="27"/>
      <c r="V38" s="27"/>
    </row>
    <row r="39" spans="1:22" x14ac:dyDescent="0.25">
      <c r="A39" s="27"/>
      <c r="B39" s="27"/>
      <c r="C39" s="27"/>
      <c r="D39" s="27"/>
      <c r="E39" s="27"/>
      <c r="F39" s="27"/>
      <c r="G39" s="27"/>
      <c r="H39" s="27"/>
      <c r="I39" s="27"/>
      <c r="J39" s="27"/>
      <c r="K39" s="27"/>
      <c r="L39" s="27"/>
      <c r="M39" s="27"/>
      <c r="N39" s="27"/>
      <c r="O39" s="27"/>
      <c r="P39" s="27"/>
      <c r="Q39" s="27"/>
      <c r="R39" s="27"/>
      <c r="S39" s="27"/>
      <c r="T39" s="27"/>
      <c r="U39" s="27"/>
      <c r="V39" s="27"/>
    </row>
    <row r="40" spans="1:22" x14ac:dyDescent="0.25">
      <c r="A40" s="27"/>
      <c r="B40" s="27"/>
      <c r="C40" s="27"/>
      <c r="D40" s="27"/>
      <c r="E40" s="27"/>
      <c r="F40" s="27"/>
      <c r="G40" s="27"/>
      <c r="H40" s="27"/>
      <c r="I40" s="27"/>
      <c r="J40" s="27"/>
      <c r="K40" s="27"/>
      <c r="L40" s="27"/>
      <c r="M40" s="27"/>
      <c r="N40" s="27"/>
      <c r="O40" s="27"/>
      <c r="P40" s="27"/>
      <c r="Q40" s="27"/>
      <c r="R40" s="27"/>
      <c r="S40" s="27"/>
      <c r="T40" s="27"/>
      <c r="U40" s="27"/>
      <c r="V40" s="27"/>
    </row>
    <row r="41" spans="1:22" x14ac:dyDescent="0.25">
      <c r="A41" s="27"/>
      <c r="B41" s="27"/>
      <c r="C41" s="27"/>
      <c r="D41" s="27"/>
      <c r="E41" s="27"/>
      <c r="F41" s="27"/>
      <c r="G41" s="27"/>
      <c r="H41" s="27"/>
      <c r="I41" s="27"/>
      <c r="J41" s="27"/>
      <c r="K41" s="27"/>
      <c r="L41" s="27"/>
      <c r="M41" s="27"/>
      <c r="N41" s="27"/>
      <c r="O41" s="27"/>
      <c r="P41" s="27"/>
      <c r="Q41" s="27"/>
      <c r="R41" s="27"/>
      <c r="S41" s="27"/>
      <c r="T41" s="27"/>
      <c r="U41" s="27"/>
      <c r="V41" s="27"/>
    </row>
    <row r="42" spans="1:22" x14ac:dyDescent="0.25">
      <c r="A42" s="27"/>
      <c r="B42" s="27"/>
      <c r="C42" s="27"/>
      <c r="D42" s="27"/>
      <c r="E42" s="27"/>
      <c r="F42" s="27"/>
      <c r="G42" s="27"/>
      <c r="H42" s="27"/>
      <c r="I42" s="27"/>
      <c r="J42" s="27"/>
      <c r="K42" s="27"/>
      <c r="L42" s="27"/>
      <c r="M42" s="27"/>
      <c r="N42" s="27"/>
      <c r="O42" s="27"/>
      <c r="P42" s="27"/>
      <c r="Q42" s="27"/>
      <c r="R42" s="27"/>
      <c r="S42" s="27"/>
      <c r="T42" s="27"/>
      <c r="U42" s="27"/>
      <c r="V42" s="27"/>
    </row>
    <row r="43" spans="1:22" x14ac:dyDescent="0.25">
      <c r="A43" s="27"/>
      <c r="B43" s="27"/>
      <c r="C43" s="27"/>
      <c r="D43" s="27"/>
      <c r="E43" s="27"/>
      <c r="F43" s="27"/>
      <c r="G43" s="27"/>
      <c r="H43" s="27"/>
      <c r="I43" s="27"/>
      <c r="J43" s="27"/>
      <c r="K43" s="27"/>
      <c r="L43" s="27"/>
      <c r="M43" s="27"/>
      <c r="N43" s="27"/>
      <c r="O43" s="27"/>
      <c r="P43" s="27"/>
      <c r="Q43" s="27"/>
      <c r="R43" s="27"/>
      <c r="S43" s="27"/>
      <c r="T43" s="27"/>
      <c r="U43" s="27"/>
      <c r="V43" s="27"/>
    </row>
    <row r="44" spans="1:22" x14ac:dyDescent="0.25">
      <c r="A44" s="27"/>
      <c r="B44" s="27"/>
      <c r="C44" s="27"/>
      <c r="D44" s="27"/>
      <c r="E44" s="27"/>
      <c r="F44" s="27"/>
      <c r="G44" s="27"/>
      <c r="H44" s="27"/>
      <c r="I44" s="27"/>
      <c r="J44" s="27"/>
      <c r="K44" s="27"/>
      <c r="L44" s="27"/>
      <c r="M44" s="27"/>
      <c r="N44" s="27"/>
      <c r="O44" s="27"/>
      <c r="P44" s="27"/>
      <c r="Q44" s="27"/>
      <c r="R44" s="27"/>
      <c r="S44" s="27"/>
      <c r="T44" s="27"/>
      <c r="U44" s="27"/>
      <c r="V44" s="27"/>
    </row>
    <row r="45" spans="1:22" x14ac:dyDescent="0.25">
      <c r="A45" s="27"/>
      <c r="B45" s="27"/>
      <c r="C45" s="27"/>
      <c r="D45" s="27"/>
      <c r="E45" s="27"/>
      <c r="F45" s="27"/>
      <c r="G45" s="27"/>
      <c r="H45" s="27"/>
      <c r="I45" s="27"/>
      <c r="J45" s="27"/>
      <c r="K45" s="27"/>
      <c r="L45" s="27"/>
      <c r="M45" s="27"/>
      <c r="N45" s="27"/>
      <c r="O45" s="27"/>
      <c r="P45" s="27"/>
      <c r="Q45" s="27"/>
      <c r="R45" s="27"/>
      <c r="S45" s="27"/>
      <c r="T45" s="27"/>
      <c r="U45" s="27"/>
      <c r="V45" s="27"/>
    </row>
    <row r="46" spans="1:22" x14ac:dyDescent="0.25">
      <c r="A46" s="27"/>
      <c r="B46" s="27"/>
      <c r="C46" s="27"/>
      <c r="D46" s="27"/>
      <c r="E46" s="27"/>
      <c r="F46" s="27"/>
      <c r="G46" s="27"/>
      <c r="H46" s="27"/>
      <c r="I46" s="27"/>
      <c r="J46" s="27"/>
      <c r="K46" s="27"/>
      <c r="L46" s="27"/>
      <c r="M46" s="27"/>
      <c r="N46" s="27"/>
      <c r="O46" s="27"/>
      <c r="P46" s="27"/>
      <c r="Q46" s="27"/>
      <c r="R46" s="27"/>
      <c r="S46" s="27"/>
      <c r="T46" s="27"/>
      <c r="U46" s="27"/>
      <c r="V46" s="27"/>
    </row>
    <row r="47" spans="1:22" x14ac:dyDescent="0.25">
      <c r="A47" s="27"/>
      <c r="B47" s="27"/>
      <c r="C47" s="27"/>
      <c r="D47" s="27"/>
      <c r="E47" s="27"/>
      <c r="F47" s="27"/>
      <c r="G47" s="27"/>
      <c r="H47" s="27"/>
      <c r="I47" s="27"/>
      <c r="J47" s="27"/>
      <c r="K47" s="27"/>
      <c r="L47" s="27"/>
      <c r="M47" s="27"/>
      <c r="N47" s="27"/>
      <c r="O47" s="27"/>
      <c r="P47" s="27"/>
      <c r="Q47" s="27"/>
      <c r="R47" s="27"/>
      <c r="S47" s="27"/>
      <c r="T47" s="27"/>
      <c r="U47" s="27"/>
      <c r="V47" s="27"/>
    </row>
    <row r="48" spans="1:22" x14ac:dyDescent="0.25">
      <c r="A48" s="27"/>
      <c r="B48" s="27"/>
      <c r="C48" s="27"/>
      <c r="D48" s="27"/>
      <c r="E48" s="27"/>
      <c r="F48" s="27"/>
      <c r="G48" s="27"/>
      <c r="H48" s="27"/>
      <c r="I48" s="27"/>
      <c r="J48" s="27"/>
      <c r="K48" s="27"/>
      <c r="L48" s="27"/>
      <c r="M48" s="27"/>
      <c r="N48" s="27"/>
      <c r="O48" s="27"/>
      <c r="P48" s="27"/>
      <c r="Q48" s="27"/>
      <c r="R48" s="27"/>
      <c r="S48" s="27"/>
      <c r="T48" s="27"/>
      <c r="U48" s="27"/>
      <c r="V48" s="27"/>
    </row>
    <row r="49" spans="1:22" x14ac:dyDescent="0.25">
      <c r="A49" s="27"/>
      <c r="B49" s="27"/>
      <c r="C49" s="27"/>
      <c r="D49" s="27"/>
      <c r="E49" s="27"/>
      <c r="F49" s="27"/>
      <c r="G49" s="27"/>
      <c r="H49" s="27"/>
      <c r="I49" s="27"/>
      <c r="J49" s="27"/>
      <c r="K49" s="27"/>
      <c r="L49" s="27"/>
      <c r="M49" s="27"/>
      <c r="N49" s="27"/>
      <c r="O49" s="27"/>
      <c r="P49" s="27"/>
      <c r="Q49" s="27"/>
      <c r="R49" s="27"/>
      <c r="S49" s="27"/>
      <c r="T49" s="27"/>
      <c r="U49" s="27"/>
      <c r="V49" s="27"/>
    </row>
    <row r="50" spans="1:22" x14ac:dyDescent="0.25">
      <c r="A50" s="27"/>
      <c r="B50" s="27"/>
      <c r="C50" s="27"/>
      <c r="D50" s="27"/>
      <c r="E50" s="27"/>
      <c r="F50" s="27"/>
      <c r="G50" s="27"/>
      <c r="H50" s="27"/>
      <c r="I50" s="27"/>
      <c r="J50" s="27"/>
      <c r="K50" s="27"/>
      <c r="L50" s="27"/>
      <c r="M50" s="27"/>
      <c r="N50" s="27"/>
      <c r="O50" s="27"/>
      <c r="P50" s="27"/>
      <c r="Q50" s="27"/>
      <c r="R50" s="27"/>
      <c r="S50" s="27"/>
      <c r="T50" s="27"/>
      <c r="U50" s="27"/>
      <c r="V50" s="27"/>
    </row>
    <row r="51" spans="1:22" x14ac:dyDescent="0.25">
      <c r="A51" s="27"/>
      <c r="B51" s="27"/>
      <c r="C51" s="27"/>
      <c r="D51" s="27"/>
      <c r="E51" s="27"/>
      <c r="F51" s="27"/>
      <c r="G51" s="27"/>
      <c r="H51" s="27"/>
      <c r="I51" s="27"/>
      <c r="J51" s="27"/>
      <c r="K51" s="27"/>
      <c r="L51" s="27"/>
      <c r="M51" s="27"/>
      <c r="N51" s="27"/>
      <c r="O51" s="27"/>
      <c r="P51" s="27"/>
      <c r="Q51" s="27"/>
      <c r="R51" s="27"/>
      <c r="S51" s="27"/>
      <c r="T51" s="27"/>
      <c r="U51" s="27"/>
      <c r="V51" s="27"/>
    </row>
    <row r="52" spans="1:22" x14ac:dyDescent="0.25">
      <c r="A52" s="27"/>
      <c r="B52" s="27"/>
      <c r="C52" s="27"/>
      <c r="D52" s="27"/>
      <c r="E52" s="27"/>
      <c r="F52" s="27"/>
      <c r="G52" s="27"/>
      <c r="H52" s="27"/>
      <c r="I52" s="27"/>
      <c r="J52" s="27"/>
      <c r="K52" s="27"/>
      <c r="L52" s="27"/>
      <c r="M52" s="27"/>
      <c r="N52" s="27"/>
      <c r="O52" s="27"/>
      <c r="P52" s="27"/>
      <c r="Q52" s="27"/>
      <c r="R52" s="27"/>
      <c r="S52" s="27"/>
      <c r="T52" s="27"/>
      <c r="U52" s="27"/>
      <c r="V52" s="27"/>
    </row>
    <row r="53" spans="1:22" x14ac:dyDescent="0.25">
      <c r="A53" s="27"/>
      <c r="B53" s="27"/>
      <c r="C53" s="27"/>
      <c r="D53" s="27"/>
      <c r="E53" s="27"/>
      <c r="F53" s="27"/>
      <c r="G53" s="27"/>
      <c r="H53" s="27"/>
      <c r="I53" s="27"/>
      <c r="J53" s="27"/>
      <c r="K53" s="27"/>
      <c r="L53" s="27"/>
      <c r="M53" s="27"/>
      <c r="N53" s="27"/>
      <c r="O53" s="27"/>
      <c r="P53" s="27"/>
      <c r="Q53" s="27"/>
      <c r="R53" s="27"/>
      <c r="S53" s="27"/>
      <c r="T53" s="27"/>
      <c r="U53" s="27"/>
      <c r="V53" s="27"/>
    </row>
    <row r="54" spans="1:22" x14ac:dyDescent="0.25">
      <c r="A54" s="27"/>
      <c r="B54" s="27"/>
      <c r="C54" s="27"/>
      <c r="D54" s="27"/>
      <c r="E54" s="27"/>
      <c r="F54" s="27"/>
      <c r="G54" s="27"/>
      <c r="H54" s="27"/>
      <c r="I54" s="27"/>
      <c r="J54" s="27"/>
      <c r="K54" s="27"/>
      <c r="L54" s="27"/>
      <c r="M54" s="27"/>
      <c r="N54" s="27"/>
      <c r="O54" s="27"/>
      <c r="P54" s="27"/>
      <c r="Q54" s="27"/>
      <c r="R54" s="27"/>
      <c r="S54" s="27"/>
      <c r="T54" s="27"/>
      <c r="U54" s="27"/>
      <c r="V54" s="27"/>
    </row>
    <row r="55" spans="1:22" x14ac:dyDescent="0.25">
      <c r="A55" s="27"/>
      <c r="B55" s="27"/>
      <c r="C55" s="27"/>
      <c r="D55" s="27"/>
      <c r="E55" s="27"/>
      <c r="F55" s="27"/>
      <c r="G55" s="27"/>
      <c r="H55" s="27"/>
      <c r="I55" s="27"/>
      <c r="J55" s="27"/>
      <c r="K55" s="27"/>
      <c r="L55" s="27"/>
      <c r="M55" s="27"/>
      <c r="N55" s="27"/>
      <c r="O55" s="27"/>
      <c r="P55" s="27"/>
      <c r="Q55" s="27"/>
      <c r="R55" s="27"/>
      <c r="S55" s="27"/>
      <c r="T55" s="27"/>
      <c r="U55" s="27"/>
      <c r="V55" s="27"/>
    </row>
    <row r="56" spans="1:22" x14ac:dyDescent="0.25">
      <c r="A56" s="27"/>
      <c r="B56" s="27"/>
      <c r="C56" s="27"/>
      <c r="D56" s="27"/>
      <c r="E56" s="27"/>
      <c r="F56" s="27"/>
      <c r="G56" s="27"/>
      <c r="H56" s="27"/>
      <c r="I56" s="27"/>
      <c r="J56" s="27"/>
      <c r="K56" s="27"/>
      <c r="L56" s="27"/>
      <c r="M56" s="27"/>
      <c r="N56" s="27"/>
      <c r="O56" s="27"/>
      <c r="P56" s="27"/>
      <c r="Q56" s="27"/>
      <c r="R56" s="27"/>
      <c r="S56" s="27"/>
      <c r="T56" s="27"/>
      <c r="U56" s="27"/>
      <c r="V56" s="27"/>
    </row>
    <row r="57" spans="1:22" x14ac:dyDescent="0.25">
      <c r="A57" s="27"/>
      <c r="B57" s="27"/>
      <c r="C57" s="27"/>
      <c r="D57" s="27"/>
      <c r="E57" s="27"/>
      <c r="F57" s="27"/>
      <c r="G57" s="27"/>
      <c r="H57" s="27"/>
      <c r="I57" s="27"/>
      <c r="J57" s="27"/>
      <c r="K57" s="27"/>
      <c r="L57" s="27"/>
      <c r="M57" s="27"/>
      <c r="N57" s="27"/>
      <c r="O57" s="27"/>
      <c r="P57" s="27"/>
      <c r="Q57" s="27"/>
      <c r="R57" s="27"/>
      <c r="S57" s="27"/>
      <c r="T57" s="27"/>
      <c r="U57" s="27"/>
      <c r="V57" s="27"/>
    </row>
    <row r="58" spans="1:22" x14ac:dyDescent="0.25">
      <c r="A58" s="27"/>
      <c r="B58" s="27"/>
      <c r="C58" s="27"/>
      <c r="D58" s="27"/>
      <c r="E58" s="27"/>
      <c r="F58" s="27"/>
      <c r="G58" s="27"/>
      <c r="H58" s="27"/>
      <c r="I58" s="27"/>
      <c r="J58" s="27"/>
      <c r="K58" s="27"/>
      <c r="L58" s="27"/>
      <c r="M58" s="27"/>
      <c r="N58" s="27"/>
      <c r="O58" s="27"/>
      <c r="P58" s="27"/>
      <c r="Q58" s="27"/>
      <c r="R58" s="27"/>
      <c r="S58" s="27"/>
      <c r="T58" s="27"/>
      <c r="U58" s="27"/>
      <c r="V58" s="27"/>
    </row>
    <row r="59" spans="1:22" x14ac:dyDescent="0.25">
      <c r="A59" s="27"/>
      <c r="B59" s="27"/>
      <c r="C59" s="27"/>
      <c r="D59" s="27"/>
      <c r="E59" s="27"/>
      <c r="F59" s="27"/>
      <c r="G59" s="27"/>
      <c r="H59" s="27"/>
      <c r="I59" s="27"/>
      <c r="J59" s="27"/>
      <c r="K59" s="27"/>
      <c r="L59" s="27"/>
      <c r="M59" s="27"/>
      <c r="N59" s="27"/>
      <c r="O59" s="27"/>
      <c r="P59" s="27"/>
      <c r="Q59" s="27"/>
      <c r="R59" s="27"/>
      <c r="S59" s="27"/>
      <c r="T59" s="27"/>
      <c r="U59" s="27"/>
      <c r="V59" s="27"/>
    </row>
    <row r="60" spans="1:22" x14ac:dyDescent="0.25">
      <c r="A60" s="27"/>
      <c r="B60" s="27"/>
      <c r="C60" s="27"/>
      <c r="D60" s="27"/>
      <c r="E60" s="27"/>
      <c r="F60" s="27"/>
      <c r="G60" s="27"/>
      <c r="H60" s="27"/>
      <c r="I60" s="27"/>
      <c r="J60" s="27"/>
      <c r="K60" s="27"/>
      <c r="L60" s="27"/>
      <c r="M60" s="27"/>
      <c r="N60" s="27"/>
      <c r="O60" s="27"/>
      <c r="P60" s="27"/>
      <c r="Q60" s="27"/>
      <c r="R60" s="27"/>
      <c r="S60" s="27"/>
      <c r="T60" s="27"/>
      <c r="U60" s="27"/>
      <c r="V60" s="27"/>
    </row>
    <row r="61" spans="1:22" x14ac:dyDescent="0.25">
      <c r="A61" s="27"/>
      <c r="B61" s="27"/>
      <c r="C61" s="27"/>
      <c r="D61" s="27"/>
      <c r="E61" s="27"/>
      <c r="F61" s="27"/>
      <c r="G61" s="27"/>
      <c r="H61" s="27"/>
      <c r="I61" s="27"/>
      <c r="J61" s="27"/>
      <c r="K61" s="27"/>
      <c r="L61" s="27"/>
      <c r="M61" s="27"/>
      <c r="N61" s="27"/>
      <c r="O61" s="27"/>
      <c r="P61" s="27"/>
      <c r="Q61" s="27"/>
      <c r="R61" s="27"/>
      <c r="S61" s="27"/>
      <c r="T61" s="27"/>
      <c r="U61" s="27"/>
      <c r="V61" s="27"/>
    </row>
    <row r="62" spans="1:22" x14ac:dyDescent="0.25">
      <c r="A62" s="27"/>
      <c r="B62" s="27"/>
      <c r="C62" s="27"/>
      <c r="D62" s="27"/>
      <c r="E62" s="27"/>
      <c r="F62" s="27"/>
      <c r="G62" s="27"/>
      <c r="H62" s="27"/>
      <c r="I62" s="27"/>
      <c r="J62" s="27"/>
      <c r="K62" s="27"/>
      <c r="L62" s="27"/>
      <c r="M62" s="27"/>
      <c r="N62" s="27"/>
      <c r="O62" s="27"/>
      <c r="P62" s="27"/>
      <c r="Q62" s="27"/>
      <c r="R62" s="27"/>
      <c r="S62" s="27"/>
      <c r="T62" s="27"/>
      <c r="U62" s="27"/>
      <c r="V62" s="27"/>
    </row>
    <row r="63" spans="1:22" x14ac:dyDescent="0.25">
      <c r="A63" s="27"/>
      <c r="B63" s="27"/>
      <c r="C63" s="27"/>
      <c r="D63" s="27"/>
      <c r="E63" s="27"/>
      <c r="F63" s="27"/>
      <c r="G63" s="27"/>
      <c r="H63" s="27"/>
      <c r="I63" s="27"/>
      <c r="J63" s="27"/>
      <c r="K63" s="27"/>
      <c r="L63" s="27"/>
      <c r="M63" s="27"/>
      <c r="N63" s="27"/>
      <c r="O63" s="27"/>
      <c r="P63" s="27"/>
      <c r="Q63" s="27"/>
      <c r="R63" s="27"/>
      <c r="S63" s="27"/>
      <c r="T63" s="27"/>
      <c r="U63" s="27"/>
      <c r="V63" s="27"/>
    </row>
    <row r="64" spans="1:22" x14ac:dyDescent="0.25">
      <c r="A64" s="27"/>
      <c r="B64" s="27"/>
      <c r="C64" s="27"/>
      <c r="D64" s="27"/>
      <c r="E64" s="27"/>
      <c r="F64" s="27"/>
      <c r="G64" s="27"/>
      <c r="H64" s="27"/>
      <c r="I64" s="27"/>
      <c r="J64" s="27"/>
      <c r="K64" s="27"/>
      <c r="L64" s="27"/>
      <c r="M64" s="27"/>
      <c r="N64" s="27"/>
      <c r="O64" s="27"/>
      <c r="P64" s="27"/>
      <c r="Q64" s="27"/>
      <c r="R64" s="27"/>
      <c r="S64" s="27"/>
      <c r="T64" s="27"/>
      <c r="U64" s="27"/>
      <c r="V64" s="27"/>
    </row>
    <row r="65" spans="1:22" x14ac:dyDescent="0.25">
      <c r="A65" s="27"/>
      <c r="B65" s="27"/>
      <c r="C65" s="27"/>
      <c r="D65" s="27"/>
      <c r="E65" s="27"/>
      <c r="F65" s="27"/>
      <c r="G65" s="27"/>
      <c r="H65" s="27"/>
      <c r="I65" s="27"/>
      <c r="J65" s="27"/>
      <c r="K65" s="27"/>
      <c r="L65" s="27"/>
      <c r="M65" s="27"/>
      <c r="N65" s="27"/>
      <c r="O65" s="27"/>
      <c r="P65" s="27"/>
      <c r="Q65" s="27"/>
      <c r="R65" s="27"/>
      <c r="S65" s="27"/>
      <c r="T65" s="27"/>
      <c r="U65" s="27"/>
      <c r="V65" s="27"/>
    </row>
    <row r="66" spans="1:22" x14ac:dyDescent="0.25">
      <c r="A66" s="27"/>
      <c r="B66" s="27"/>
      <c r="C66" s="27"/>
      <c r="D66" s="27"/>
      <c r="E66" s="27"/>
      <c r="F66" s="27"/>
      <c r="G66" s="27"/>
      <c r="H66" s="27"/>
      <c r="I66" s="27"/>
      <c r="J66" s="27"/>
      <c r="K66" s="27"/>
      <c r="L66" s="27"/>
      <c r="M66" s="27"/>
      <c r="N66" s="27"/>
      <c r="O66" s="27"/>
      <c r="P66" s="27"/>
      <c r="Q66" s="27"/>
      <c r="R66" s="27"/>
      <c r="S66" s="27"/>
      <c r="T66" s="27"/>
      <c r="U66" s="27"/>
      <c r="V66" s="27"/>
    </row>
    <row r="67" spans="1:22" x14ac:dyDescent="0.25">
      <c r="A67" s="27"/>
      <c r="B67" s="27"/>
      <c r="C67" s="27"/>
      <c r="D67" s="27"/>
      <c r="E67" s="27"/>
      <c r="F67" s="27"/>
      <c r="G67" s="27"/>
      <c r="H67" s="27"/>
      <c r="I67" s="27"/>
      <c r="J67" s="27"/>
      <c r="K67" s="27"/>
      <c r="L67" s="27"/>
      <c r="M67" s="27"/>
      <c r="N67" s="27"/>
      <c r="O67" s="27"/>
      <c r="P67" s="27"/>
      <c r="Q67" s="27"/>
      <c r="R67" s="27"/>
      <c r="S67" s="27"/>
      <c r="T67" s="27"/>
      <c r="U67" s="27"/>
      <c r="V67" s="27"/>
    </row>
    <row r="68" spans="1:22" x14ac:dyDescent="0.25">
      <c r="A68" s="27"/>
      <c r="B68" s="27"/>
      <c r="C68" s="27"/>
      <c r="D68" s="27"/>
      <c r="E68" s="27"/>
      <c r="F68" s="27"/>
      <c r="G68" s="27"/>
      <c r="H68" s="27"/>
      <c r="I68" s="27"/>
      <c r="J68" s="27"/>
      <c r="K68" s="27"/>
      <c r="L68" s="27"/>
      <c r="M68" s="27"/>
      <c r="N68" s="27"/>
      <c r="O68" s="27"/>
      <c r="P68" s="27"/>
      <c r="Q68" s="27"/>
      <c r="R68" s="27"/>
      <c r="S68" s="27"/>
      <c r="T68" s="27"/>
      <c r="U68" s="27"/>
      <c r="V68" s="27"/>
    </row>
    <row r="69" spans="1:22" x14ac:dyDescent="0.25">
      <c r="A69" s="27"/>
      <c r="B69" s="27"/>
      <c r="C69" s="27"/>
      <c r="D69" s="27"/>
      <c r="E69" s="27"/>
      <c r="F69" s="27"/>
      <c r="G69" s="27"/>
      <c r="H69" s="27"/>
      <c r="I69" s="27"/>
      <c r="J69" s="27"/>
      <c r="K69" s="27"/>
      <c r="L69" s="27"/>
      <c r="M69" s="27"/>
      <c r="N69" s="27"/>
      <c r="O69" s="27"/>
      <c r="P69" s="27"/>
      <c r="Q69" s="27"/>
      <c r="R69" s="27"/>
      <c r="S69" s="27"/>
      <c r="T69" s="27"/>
      <c r="U69" s="27"/>
      <c r="V69" s="27"/>
    </row>
    <row r="70" spans="1:22" x14ac:dyDescent="0.25">
      <c r="A70" s="27"/>
      <c r="B70" s="27"/>
      <c r="C70" s="27"/>
      <c r="D70" s="27"/>
      <c r="E70" s="27"/>
      <c r="F70" s="27"/>
      <c r="G70" s="27"/>
      <c r="H70" s="27"/>
      <c r="I70" s="27"/>
      <c r="J70" s="27"/>
      <c r="K70" s="27"/>
      <c r="L70" s="27"/>
      <c r="M70" s="27"/>
      <c r="N70" s="27"/>
      <c r="O70" s="27"/>
      <c r="P70" s="27"/>
      <c r="Q70" s="27"/>
      <c r="R70" s="27"/>
      <c r="S70" s="27"/>
      <c r="T70" s="27"/>
      <c r="U70" s="27"/>
      <c r="V70" s="27"/>
    </row>
    <row r="71" spans="1:22" x14ac:dyDescent="0.25">
      <c r="A71" s="27"/>
      <c r="B71" s="27"/>
      <c r="C71" s="27"/>
      <c r="D71" s="27"/>
      <c r="E71" s="27"/>
      <c r="F71" s="27"/>
      <c r="G71" s="27"/>
      <c r="H71" s="27"/>
      <c r="I71" s="27"/>
      <c r="J71" s="27"/>
      <c r="K71" s="27"/>
      <c r="L71" s="27"/>
      <c r="M71" s="27"/>
      <c r="N71" s="27"/>
      <c r="O71" s="27"/>
      <c r="P71" s="27"/>
      <c r="Q71" s="27"/>
      <c r="R71" s="27"/>
      <c r="S71" s="27"/>
      <c r="T71" s="27"/>
      <c r="U71" s="27"/>
      <c r="V71" s="27"/>
    </row>
    <row r="72" spans="1:22" x14ac:dyDescent="0.25">
      <c r="A72" s="27"/>
      <c r="B72" s="27"/>
      <c r="C72" s="27"/>
      <c r="D72" s="27"/>
      <c r="E72" s="27"/>
      <c r="F72" s="27"/>
      <c r="G72" s="27"/>
      <c r="H72" s="27"/>
      <c r="I72" s="27"/>
      <c r="J72" s="27"/>
      <c r="K72" s="27"/>
      <c r="L72" s="27"/>
      <c r="M72" s="27"/>
      <c r="N72" s="27"/>
      <c r="O72" s="27"/>
      <c r="P72" s="27"/>
      <c r="Q72" s="27"/>
      <c r="R72" s="27"/>
      <c r="S72" s="27"/>
      <c r="T72" s="27"/>
      <c r="U72" s="27"/>
      <c r="V72" s="27"/>
    </row>
    <row r="73" spans="1:22" x14ac:dyDescent="0.25">
      <c r="A73" s="27"/>
      <c r="B73" s="27"/>
      <c r="C73" s="27"/>
      <c r="D73" s="27"/>
      <c r="E73" s="27"/>
      <c r="F73" s="27"/>
      <c r="G73" s="27"/>
      <c r="H73" s="27"/>
      <c r="I73" s="27"/>
      <c r="J73" s="27"/>
      <c r="K73" s="27"/>
      <c r="L73" s="27"/>
      <c r="M73" s="27"/>
      <c r="N73" s="27"/>
      <c r="O73" s="27"/>
      <c r="P73" s="27"/>
      <c r="Q73" s="27"/>
      <c r="R73" s="27"/>
      <c r="S73" s="27"/>
      <c r="T73" s="27"/>
      <c r="U73" s="27"/>
      <c r="V73" s="27"/>
    </row>
    <row r="74" spans="1:22" x14ac:dyDescent="0.25">
      <c r="A74" s="27"/>
      <c r="B74" s="27"/>
      <c r="C74" s="27"/>
      <c r="D74" s="27"/>
      <c r="E74" s="27"/>
      <c r="F74" s="27"/>
      <c r="G74" s="27"/>
      <c r="H74" s="27"/>
      <c r="I74" s="27"/>
      <c r="J74" s="27"/>
      <c r="K74" s="27"/>
      <c r="L74" s="27"/>
      <c r="M74" s="27"/>
      <c r="N74" s="27"/>
      <c r="O74" s="27"/>
      <c r="P74" s="27"/>
      <c r="Q74" s="27"/>
      <c r="R74" s="27"/>
      <c r="S74" s="27"/>
      <c r="T74" s="27"/>
      <c r="U74" s="27"/>
      <c r="V74" s="27"/>
    </row>
    <row r="75" spans="1:22" x14ac:dyDescent="0.25">
      <c r="A75" s="27"/>
      <c r="B75" s="27"/>
      <c r="C75" s="27"/>
      <c r="D75" s="27"/>
      <c r="E75" s="27"/>
      <c r="F75" s="27"/>
      <c r="G75" s="27"/>
      <c r="H75" s="27"/>
      <c r="I75" s="27"/>
      <c r="J75" s="27"/>
      <c r="K75" s="27"/>
      <c r="L75" s="27"/>
      <c r="M75" s="27"/>
      <c r="N75" s="27"/>
      <c r="O75" s="27"/>
      <c r="P75" s="27"/>
      <c r="Q75" s="27"/>
      <c r="R75" s="27"/>
      <c r="S75" s="27"/>
      <c r="T75" s="27"/>
      <c r="U75" s="27"/>
      <c r="V75" s="27"/>
    </row>
    <row r="76" spans="1:22" x14ac:dyDescent="0.25">
      <c r="A76" s="27"/>
      <c r="B76" s="27"/>
      <c r="C76" s="27"/>
      <c r="D76" s="27"/>
      <c r="E76" s="27"/>
      <c r="F76" s="27"/>
      <c r="G76" s="27"/>
      <c r="H76" s="27"/>
      <c r="I76" s="27"/>
      <c r="J76" s="27"/>
      <c r="K76" s="27"/>
      <c r="L76" s="27"/>
      <c r="M76" s="27"/>
      <c r="N76" s="27"/>
      <c r="O76" s="27"/>
      <c r="P76" s="27"/>
      <c r="Q76" s="27"/>
      <c r="R76" s="27"/>
      <c r="S76" s="27"/>
      <c r="T76" s="27"/>
      <c r="U76" s="27"/>
      <c r="V76" s="27"/>
    </row>
    <row r="77" spans="1:22" x14ac:dyDescent="0.25">
      <c r="A77" s="27"/>
      <c r="B77" s="27"/>
      <c r="C77" s="27"/>
      <c r="D77" s="27"/>
      <c r="E77" s="27"/>
      <c r="F77" s="27"/>
      <c r="G77" s="27"/>
      <c r="H77" s="27"/>
      <c r="I77" s="27"/>
      <c r="J77" s="27"/>
      <c r="K77" s="27"/>
      <c r="L77" s="27"/>
      <c r="M77" s="27"/>
      <c r="N77" s="27"/>
      <c r="O77" s="27"/>
      <c r="P77" s="27"/>
      <c r="Q77" s="27"/>
      <c r="R77" s="27"/>
      <c r="S77" s="27"/>
      <c r="T77" s="27"/>
      <c r="U77" s="27"/>
      <c r="V77" s="27"/>
    </row>
    <row r="78" spans="1:22" x14ac:dyDescent="0.25">
      <c r="A78" s="27"/>
      <c r="B78" s="27"/>
      <c r="C78" s="27"/>
      <c r="D78" s="27"/>
      <c r="E78" s="27"/>
      <c r="F78" s="27"/>
      <c r="G78" s="27"/>
      <c r="H78" s="27"/>
      <c r="I78" s="27"/>
      <c r="J78" s="27"/>
      <c r="K78" s="27"/>
      <c r="L78" s="27"/>
      <c r="M78" s="27"/>
      <c r="N78" s="27"/>
      <c r="O78" s="27"/>
      <c r="P78" s="27"/>
      <c r="Q78" s="27"/>
      <c r="R78" s="27"/>
      <c r="S78" s="27"/>
      <c r="T78" s="27"/>
      <c r="U78" s="27"/>
      <c r="V78" s="27"/>
    </row>
    <row r="79" spans="1:22" x14ac:dyDescent="0.25">
      <c r="A79" s="27"/>
      <c r="B79" s="27"/>
      <c r="C79" s="27"/>
      <c r="D79" s="27"/>
      <c r="E79" s="27"/>
      <c r="F79" s="27"/>
      <c r="G79" s="27"/>
      <c r="H79" s="27"/>
      <c r="I79" s="27"/>
      <c r="J79" s="27"/>
      <c r="K79" s="27"/>
      <c r="L79" s="27"/>
      <c r="M79" s="27"/>
      <c r="N79" s="27"/>
      <c r="O79" s="27"/>
      <c r="P79" s="27"/>
      <c r="Q79" s="27"/>
      <c r="R79" s="27"/>
      <c r="S79" s="27"/>
      <c r="T79" s="27"/>
      <c r="U79" s="27"/>
      <c r="V79" s="27"/>
    </row>
    <row r="80" spans="1:22" x14ac:dyDescent="0.25">
      <c r="A80" s="27"/>
      <c r="B80" s="27"/>
      <c r="C80" s="27"/>
      <c r="D80" s="27"/>
      <c r="E80" s="27"/>
      <c r="F80" s="27"/>
      <c r="G80" s="27"/>
      <c r="H80" s="27"/>
      <c r="I80" s="27"/>
      <c r="J80" s="27"/>
      <c r="K80" s="27"/>
      <c r="L80" s="27"/>
      <c r="M80" s="27"/>
      <c r="N80" s="27"/>
      <c r="O80" s="27"/>
      <c r="P80" s="27"/>
      <c r="Q80" s="27"/>
      <c r="R80" s="27"/>
      <c r="S80" s="27"/>
      <c r="T80" s="27"/>
      <c r="U80" s="27"/>
      <c r="V80" s="27"/>
    </row>
    <row r="81" spans="1:22" x14ac:dyDescent="0.25">
      <c r="A81" s="27"/>
      <c r="B81" s="27"/>
      <c r="C81" s="27"/>
      <c r="D81" s="27"/>
      <c r="E81" s="27"/>
      <c r="F81" s="27"/>
      <c r="G81" s="27"/>
      <c r="H81" s="27"/>
      <c r="I81" s="27"/>
      <c r="J81" s="27"/>
      <c r="K81" s="27"/>
      <c r="L81" s="27"/>
      <c r="M81" s="27"/>
      <c r="N81" s="27"/>
      <c r="O81" s="27"/>
      <c r="P81" s="27"/>
      <c r="Q81" s="27"/>
      <c r="R81" s="27"/>
      <c r="S81" s="27"/>
      <c r="T81" s="27"/>
      <c r="U81" s="27"/>
      <c r="V81" s="27"/>
    </row>
    <row r="82" spans="1:22" x14ac:dyDescent="0.25">
      <c r="A82" s="27"/>
      <c r="B82" s="27"/>
      <c r="C82" s="27"/>
      <c r="D82" s="27"/>
      <c r="E82" s="27"/>
      <c r="F82" s="27"/>
      <c r="G82" s="27"/>
      <c r="H82" s="27"/>
      <c r="I82" s="27"/>
      <c r="J82" s="27"/>
      <c r="K82" s="27"/>
      <c r="L82" s="27"/>
      <c r="M82" s="27"/>
      <c r="N82" s="27"/>
      <c r="O82" s="27"/>
      <c r="P82" s="27"/>
      <c r="Q82" s="27"/>
      <c r="R82" s="27"/>
      <c r="S82" s="27"/>
      <c r="T82" s="27"/>
      <c r="U82" s="27"/>
      <c r="V82" s="27"/>
    </row>
    <row r="83" spans="1:22" x14ac:dyDescent="0.25">
      <c r="A83" s="27"/>
      <c r="B83" s="27"/>
      <c r="C83" s="27"/>
      <c r="D83" s="27"/>
      <c r="E83" s="27"/>
      <c r="F83" s="27"/>
      <c r="G83" s="27"/>
      <c r="H83" s="27"/>
      <c r="I83" s="27"/>
      <c r="J83" s="27"/>
      <c r="K83" s="27"/>
      <c r="L83" s="27"/>
      <c r="M83" s="27"/>
      <c r="N83" s="27"/>
      <c r="O83" s="27"/>
      <c r="P83" s="27"/>
      <c r="Q83" s="27"/>
      <c r="R83" s="27"/>
      <c r="S83" s="27"/>
      <c r="T83" s="27"/>
      <c r="U83" s="27"/>
      <c r="V83" s="27"/>
    </row>
    <row r="84" spans="1:22" x14ac:dyDescent="0.25">
      <c r="A84" s="27"/>
      <c r="B84" s="27"/>
      <c r="C84" s="27"/>
      <c r="D84" s="27"/>
      <c r="E84" s="27"/>
      <c r="F84" s="27"/>
      <c r="G84" s="27"/>
      <c r="H84" s="27"/>
      <c r="I84" s="27"/>
      <c r="J84" s="27"/>
      <c r="K84" s="27"/>
      <c r="L84" s="27"/>
      <c r="M84" s="27"/>
      <c r="N84" s="27"/>
      <c r="O84" s="27"/>
      <c r="P84" s="27"/>
      <c r="Q84" s="27"/>
      <c r="R84" s="27"/>
      <c r="S84" s="27"/>
      <c r="T84" s="27"/>
      <c r="U84" s="27"/>
      <c r="V84" s="27"/>
    </row>
    <row r="85" spans="1:22" x14ac:dyDescent="0.25">
      <c r="A85" s="27"/>
      <c r="B85" s="27"/>
      <c r="C85" s="27"/>
      <c r="D85" s="27"/>
      <c r="E85" s="27"/>
      <c r="F85" s="27"/>
      <c r="G85" s="27"/>
      <c r="H85" s="27"/>
      <c r="I85" s="27"/>
      <c r="J85" s="27"/>
      <c r="K85" s="27"/>
      <c r="L85" s="27"/>
      <c r="M85" s="27"/>
      <c r="N85" s="27"/>
      <c r="O85" s="27"/>
      <c r="P85" s="27"/>
      <c r="Q85" s="27"/>
      <c r="R85" s="27"/>
      <c r="S85" s="27"/>
      <c r="T85" s="27"/>
      <c r="U85" s="27"/>
      <c r="V85" s="27"/>
    </row>
    <row r="86" spans="1:22" x14ac:dyDescent="0.25">
      <c r="A86" s="27"/>
      <c r="B86" s="27"/>
      <c r="C86" s="27"/>
      <c r="D86" s="27"/>
      <c r="E86" s="27"/>
      <c r="F86" s="27"/>
      <c r="G86" s="27"/>
      <c r="H86" s="27"/>
      <c r="I86" s="27"/>
      <c r="J86" s="27"/>
      <c r="K86" s="27"/>
      <c r="L86" s="27"/>
      <c r="M86" s="27"/>
      <c r="N86" s="27"/>
      <c r="O86" s="27"/>
      <c r="P86" s="27"/>
      <c r="Q86" s="27"/>
      <c r="R86" s="27"/>
      <c r="S86" s="27"/>
      <c r="T86" s="27"/>
      <c r="U86" s="27"/>
      <c r="V86" s="27"/>
    </row>
    <row r="87" spans="1:22" x14ac:dyDescent="0.25">
      <c r="A87" s="27"/>
      <c r="B87" s="27"/>
      <c r="C87" s="27"/>
      <c r="D87" s="27"/>
      <c r="E87" s="27"/>
      <c r="F87" s="27"/>
      <c r="G87" s="27"/>
      <c r="H87" s="27"/>
      <c r="I87" s="27"/>
      <c r="J87" s="27"/>
      <c r="K87" s="27"/>
      <c r="L87" s="27"/>
      <c r="M87" s="27"/>
      <c r="N87" s="27"/>
      <c r="O87" s="27"/>
      <c r="P87" s="27"/>
      <c r="Q87" s="27"/>
      <c r="R87" s="27"/>
      <c r="S87" s="27"/>
      <c r="T87" s="27"/>
      <c r="U87" s="27"/>
      <c r="V87" s="27"/>
    </row>
    <row r="88" spans="1:22" x14ac:dyDescent="0.25">
      <c r="A88" s="27"/>
      <c r="B88" s="27"/>
      <c r="C88" s="27"/>
      <c r="D88" s="27"/>
      <c r="E88" s="27"/>
      <c r="F88" s="27"/>
      <c r="G88" s="27"/>
      <c r="H88" s="27"/>
      <c r="I88" s="27"/>
      <c r="J88" s="27"/>
      <c r="K88" s="27"/>
      <c r="L88" s="27"/>
      <c r="M88" s="27"/>
      <c r="N88" s="27"/>
      <c r="O88" s="27"/>
      <c r="P88" s="27"/>
      <c r="Q88" s="27"/>
      <c r="R88" s="27"/>
      <c r="S88" s="27"/>
      <c r="T88" s="27"/>
      <c r="U88" s="27"/>
      <c r="V88" s="27"/>
    </row>
    <row r="89" spans="1:22" x14ac:dyDescent="0.25">
      <c r="A89" s="27"/>
      <c r="B89" s="27"/>
      <c r="C89" s="27"/>
      <c r="D89" s="27"/>
      <c r="E89" s="27"/>
      <c r="F89" s="27"/>
      <c r="G89" s="27"/>
      <c r="H89" s="27"/>
      <c r="I89" s="27"/>
      <c r="J89" s="27"/>
      <c r="K89" s="27"/>
      <c r="L89" s="27"/>
      <c r="M89" s="27"/>
      <c r="N89" s="27"/>
      <c r="O89" s="27"/>
      <c r="P89" s="27"/>
      <c r="Q89" s="27"/>
      <c r="R89" s="27"/>
      <c r="S89" s="27"/>
      <c r="T89" s="27"/>
      <c r="U89" s="27"/>
      <c r="V89" s="27"/>
    </row>
    <row r="90" spans="1:22" x14ac:dyDescent="0.25">
      <c r="A90" s="27"/>
      <c r="B90" s="27"/>
      <c r="C90" s="27"/>
      <c r="D90" s="27"/>
      <c r="E90" s="27"/>
      <c r="F90" s="27"/>
      <c r="G90" s="27"/>
      <c r="H90" s="27"/>
      <c r="I90" s="27"/>
      <c r="J90" s="27"/>
      <c r="K90" s="27"/>
      <c r="L90" s="27"/>
      <c r="M90" s="27"/>
      <c r="N90" s="27"/>
      <c r="O90" s="27"/>
      <c r="P90" s="27"/>
      <c r="Q90" s="27"/>
      <c r="R90" s="27"/>
      <c r="S90" s="27"/>
      <c r="T90" s="27"/>
      <c r="U90" s="27"/>
      <c r="V90" s="27"/>
    </row>
    <row r="91" spans="1:22" x14ac:dyDescent="0.25">
      <c r="A91" s="27"/>
      <c r="B91" s="27"/>
      <c r="C91" s="27"/>
      <c r="D91" s="27"/>
      <c r="E91" s="27"/>
      <c r="F91" s="27"/>
      <c r="G91" s="27"/>
      <c r="H91" s="27"/>
      <c r="I91" s="27"/>
      <c r="J91" s="27"/>
      <c r="K91" s="27"/>
      <c r="L91" s="27"/>
      <c r="M91" s="27"/>
      <c r="N91" s="27"/>
      <c r="O91" s="27"/>
      <c r="P91" s="27"/>
      <c r="Q91" s="27"/>
      <c r="R91" s="27"/>
      <c r="S91" s="27"/>
      <c r="T91" s="27"/>
      <c r="U91" s="27"/>
      <c r="V91" s="27"/>
    </row>
    <row r="92" spans="1:22" x14ac:dyDescent="0.25">
      <c r="A92" s="27"/>
      <c r="B92" s="27"/>
      <c r="C92" s="27"/>
      <c r="D92" s="27"/>
      <c r="E92" s="27"/>
      <c r="F92" s="27"/>
      <c r="G92" s="27"/>
      <c r="H92" s="27"/>
      <c r="I92" s="27"/>
      <c r="J92" s="27"/>
      <c r="K92" s="27"/>
      <c r="L92" s="27"/>
      <c r="M92" s="27"/>
      <c r="N92" s="27"/>
      <c r="O92" s="27"/>
      <c r="P92" s="27"/>
      <c r="Q92" s="27"/>
      <c r="R92" s="27"/>
      <c r="S92" s="27"/>
      <c r="T92" s="27"/>
      <c r="U92" s="27"/>
      <c r="V92" s="27"/>
    </row>
    <row r="93" spans="1:22" x14ac:dyDescent="0.25">
      <c r="A93" s="27"/>
      <c r="B93" s="27"/>
      <c r="C93" s="27"/>
      <c r="D93" s="27"/>
      <c r="E93" s="27"/>
      <c r="F93" s="27"/>
      <c r="G93" s="27"/>
      <c r="H93" s="27"/>
      <c r="I93" s="27"/>
      <c r="J93" s="27"/>
      <c r="K93" s="27"/>
      <c r="L93" s="27"/>
      <c r="M93" s="27"/>
      <c r="N93" s="27"/>
      <c r="O93" s="27"/>
      <c r="P93" s="27"/>
      <c r="Q93" s="27"/>
      <c r="R93" s="27"/>
      <c r="S93" s="27"/>
      <c r="T93" s="27"/>
      <c r="U93" s="27"/>
      <c r="V93" s="27"/>
    </row>
    <row r="94" spans="1:22" x14ac:dyDescent="0.25">
      <c r="A94" s="27"/>
      <c r="B94" s="27"/>
      <c r="C94" s="27"/>
      <c r="D94" s="27"/>
      <c r="E94" s="27"/>
      <c r="F94" s="27"/>
      <c r="G94" s="27"/>
      <c r="H94" s="27"/>
      <c r="I94" s="27"/>
      <c r="J94" s="27"/>
      <c r="K94" s="27"/>
      <c r="L94" s="27"/>
      <c r="M94" s="27"/>
      <c r="N94" s="27"/>
      <c r="O94" s="27"/>
      <c r="P94" s="27"/>
      <c r="Q94" s="27"/>
      <c r="R94" s="27"/>
      <c r="S94" s="27"/>
      <c r="T94" s="27"/>
      <c r="U94" s="27"/>
      <c r="V94" s="27"/>
    </row>
    <row r="95" spans="1:22" x14ac:dyDescent="0.25">
      <c r="A95" s="27"/>
      <c r="B95" s="27"/>
      <c r="C95" s="27"/>
      <c r="D95" s="27"/>
      <c r="E95" s="27"/>
      <c r="F95" s="27"/>
      <c r="G95" s="27"/>
      <c r="H95" s="27"/>
      <c r="I95" s="27"/>
      <c r="J95" s="27"/>
      <c r="K95" s="27"/>
      <c r="L95" s="27"/>
      <c r="M95" s="27"/>
      <c r="N95" s="27"/>
      <c r="O95" s="27"/>
      <c r="P95" s="27"/>
      <c r="Q95" s="27"/>
      <c r="R95" s="27"/>
      <c r="S95" s="27"/>
      <c r="T95" s="27"/>
      <c r="U95" s="27"/>
      <c r="V95" s="27"/>
    </row>
    <row r="96" spans="1:22" x14ac:dyDescent="0.25">
      <c r="A96" s="27"/>
      <c r="B96" s="27"/>
      <c r="C96" s="27"/>
      <c r="D96" s="27"/>
      <c r="E96" s="27"/>
      <c r="F96" s="27"/>
      <c r="G96" s="27"/>
      <c r="H96" s="27"/>
      <c r="I96" s="27"/>
      <c r="J96" s="27"/>
      <c r="K96" s="27"/>
      <c r="L96" s="27"/>
      <c r="M96" s="27"/>
      <c r="N96" s="27"/>
      <c r="O96" s="27"/>
      <c r="P96" s="27"/>
      <c r="Q96" s="27"/>
      <c r="R96" s="27"/>
      <c r="S96" s="27"/>
      <c r="T96" s="27"/>
      <c r="U96" s="27"/>
      <c r="V96" s="27"/>
    </row>
    <row r="97" spans="1:22" x14ac:dyDescent="0.25">
      <c r="A97" s="27"/>
      <c r="B97" s="27"/>
      <c r="C97" s="27"/>
      <c r="D97" s="27"/>
      <c r="E97" s="27"/>
      <c r="F97" s="27"/>
      <c r="G97" s="27"/>
      <c r="H97" s="27"/>
      <c r="I97" s="27"/>
      <c r="J97" s="27"/>
      <c r="K97" s="27"/>
      <c r="L97" s="27"/>
      <c r="M97" s="27"/>
      <c r="N97" s="27"/>
      <c r="O97" s="27"/>
      <c r="P97" s="27"/>
      <c r="Q97" s="27"/>
      <c r="R97" s="27"/>
      <c r="S97" s="27"/>
      <c r="T97" s="27"/>
      <c r="U97" s="27"/>
      <c r="V97" s="27"/>
    </row>
    <row r="98" spans="1:22" x14ac:dyDescent="0.25">
      <c r="A98" s="27"/>
      <c r="B98" s="27"/>
      <c r="C98" s="27"/>
      <c r="D98" s="27"/>
      <c r="E98" s="27"/>
      <c r="F98" s="27"/>
      <c r="G98" s="27"/>
      <c r="H98" s="27"/>
      <c r="I98" s="27"/>
      <c r="J98" s="27"/>
      <c r="K98" s="27"/>
      <c r="L98" s="27"/>
      <c r="M98" s="27"/>
      <c r="N98" s="27"/>
      <c r="O98" s="27"/>
      <c r="P98" s="27"/>
      <c r="Q98" s="27"/>
      <c r="R98" s="27"/>
      <c r="S98" s="27"/>
      <c r="T98" s="27"/>
      <c r="U98" s="27"/>
      <c r="V98" s="27"/>
    </row>
    <row r="99" spans="1:22" x14ac:dyDescent="0.25">
      <c r="A99" s="27"/>
      <c r="B99" s="27"/>
      <c r="C99" s="27"/>
      <c r="D99" s="27"/>
      <c r="E99" s="27"/>
      <c r="F99" s="27"/>
      <c r="G99" s="27"/>
      <c r="H99" s="27"/>
      <c r="I99" s="27"/>
      <c r="J99" s="27"/>
      <c r="K99" s="27"/>
      <c r="L99" s="27"/>
      <c r="M99" s="27"/>
      <c r="N99" s="27"/>
      <c r="O99" s="27"/>
      <c r="P99" s="27"/>
      <c r="Q99" s="27"/>
      <c r="R99" s="27"/>
      <c r="S99" s="27"/>
      <c r="T99" s="27"/>
      <c r="U99" s="27"/>
      <c r="V99" s="27"/>
    </row>
    <row r="100" spans="1:22"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row>
    <row r="101" spans="1:22"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row>
    <row r="102" spans="1:22"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row>
    <row r="103" spans="1:22"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row>
    <row r="104" spans="1:22"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row>
    <row r="105" spans="1:22"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row>
    <row r="106" spans="1:22"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row>
    <row r="107" spans="1:22"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row>
    <row r="108" spans="1:22"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row>
    <row r="109" spans="1:22"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row>
    <row r="110" spans="1:22"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row>
    <row r="111" spans="1:22"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row>
    <row r="112" spans="1:22"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row>
    <row r="113" spans="1:22"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row>
    <row r="114" spans="1:22"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row>
    <row r="115" spans="1:22"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row>
    <row r="116" spans="1:22"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row>
    <row r="117" spans="1:22"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row>
    <row r="118" spans="1:22"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row>
    <row r="119" spans="1:22"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row>
    <row r="120" spans="1:22"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row>
    <row r="121" spans="1:22"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row>
    <row r="122" spans="1:22"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row>
    <row r="123" spans="1:22"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row>
    <row r="124" spans="1:22"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row>
    <row r="125" spans="1:22"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row>
    <row r="126" spans="1:22"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row>
    <row r="127" spans="1:22"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row>
    <row r="128" spans="1:22"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row>
    <row r="129" spans="1:22"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row>
    <row r="130" spans="1:22"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row>
    <row r="131" spans="1:22"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row>
    <row r="132" spans="1:22"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row>
    <row r="133" spans="1:22"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row>
    <row r="134" spans="1:22"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row>
    <row r="135" spans="1:22"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row>
    <row r="136" spans="1:22"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row>
    <row r="137" spans="1:22"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row>
    <row r="138" spans="1:22"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row>
    <row r="139" spans="1:22"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row>
    <row r="140" spans="1:22"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row>
    <row r="141" spans="1:22"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row>
    <row r="142" spans="1:22"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row>
    <row r="143" spans="1:22"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row>
    <row r="144" spans="1:22"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row>
    <row r="145" spans="1:22"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row>
    <row r="146" spans="1:22"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row>
    <row r="147" spans="1:22"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row>
    <row r="148" spans="1:22"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row>
    <row r="149" spans="1:22"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row>
    <row r="150" spans="1:22"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row>
    <row r="151" spans="1:22"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row>
    <row r="152" spans="1:22"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row>
    <row r="153" spans="1:22"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row>
    <row r="154" spans="1:22"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row>
    <row r="155" spans="1:22"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row>
    <row r="156" spans="1:22"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row>
    <row r="157" spans="1:22"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row>
    <row r="158" spans="1:22"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row>
    <row r="159" spans="1:22"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row>
    <row r="160" spans="1:22"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row>
    <row r="161" spans="1:22"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row>
    <row r="162" spans="1:22"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row>
    <row r="163" spans="1:22"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row>
    <row r="164" spans="1:22"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row>
    <row r="165" spans="1:22"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row>
    <row r="166" spans="1:22"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row>
    <row r="167" spans="1:22"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row>
    <row r="168" spans="1:22"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row>
    <row r="169" spans="1:22"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row>
    <row r="170" spans="1:22"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row>
    <row r="171" spans="1:22"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row>
    <row r="172" spans="1:22"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row>
    <row r="173" spans="1:22"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row>
    <row r="174" spans="1:22"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row>
    <row r="175" spans="1:22"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row>
    <row r="176" spans="1:22"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row>
    <row r="177" spans="1:22"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row>
    <row r="178" spans="1:22"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row>
    <row r="179" spans="1:22"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row>
    <row r="180" spans="1:22"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row>
    <row r="181" spans="1:22"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row>
    <row r="182" spans="1:22"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row>
    <row r="183" spans="1:22"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row>
    <row r="184" spans="1:22"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row>
    <row r="185" spans="1:22"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row>
    <row r="186" spans="1:22"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row>
    <row r="187" spans="1:22"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row>
    <row r="188" spans="1:22"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row>
    <row r="189" spans="1:22"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row>
    <row r="190" spans="1:22"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row>
    <row r="191" spans="1:22"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row>
    <row r="192" spans="1:22"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row>
    <row r="193" spans="1:22"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row>
    <row r="194" spans="1:22"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row>
    <row r="195" spans="1:22"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row>
    <row r="196" spans="1:22"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row>
    <row r="197" spans="1:22"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row>
    <row r="198" spans="1:22"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row>
    <row r="199" spans="1:22"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row>
    <row r="200" spans="1:22"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row>
  </sheetData>
  <mergeCells count="5">
    <mergeCell ref="A2:V2"/>
    <mergeCell ref="A1:V1"/>
    <mergeCell ref="A3:F3"/>
    <mergeCell ref="G3:O3"/>
    <mergeCell ref="P3:V3"/>
  </mergeCells>
  <dataValidations count="2">
    <dataValidation type="list" allowBlank="1" sqref="H6:H300 U6:U300 R6:R300 P6:P300" xr:uid="{00000000-0002-0000-0200-000000000000}">
      <formula1>"Yes,No"</formula1>
    </dataValidation>
    <dataValidation type="list" allowBlank="1" sqref="S6:T300" xr:uid="{00000000-0002-0000-0200-000003000000}">
      <formula1>"High,Medium,Low"</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00"/>
  <sheetViews>
    <sheetView workbookViewId="0">
      <pane ySplit="3" topLeftCell="A4" activePane="bottomLeft" state="frozen"/>
      <selection pane="bottomLeft" activeCell="B6" sqref="B6"/>
    </sheetView>
  </sheetViews>
  <sheetFormatPr defaultRowHeight="15" x14ac:dyDescent="0.25"/>
  <cols>
    <col min="1" max="1" width="13.42578125" style="1" customWidth="1"/>
    <col min="2" max="2" width="22" style="1" customWidth="1"/>
    <col min="3" max="3" width="24.42578125" style="1" customWidth="1"/>
    <col min="4" max="4" width="27.42578125" style="65" customWidth="1"/>
    <col min="5" max="5" width="24.5703125" style="1" customWidth="1"/>
    <col min="6" max="6" width="21.7109375" style="1" bestFit="1" customWidth="1"/>
    <col min="7" max="7" width="27.42578125" style="1" customWidth="1"/>
    <col min="8" max="8" width="26.5703125" style="1" customWidth="1"/>
    <col min="9" max="9" width="23" style="65" customWidth="1"/>
    <col min="10" max="10" width="24" style="1" customWidth="1"/>
    <col min="11" max="11" width="21.140625" style="1" customWidth="1"/>
    <col min="12" max="12" width="17.7109375" style="1" bestFit="1" customWidth="1"/>
    <col min="13" max="13" width="17.28515625" style="1" bestFit="1" customWidth="1"/>
    <col min="14" max="14" width="23.140625" style="1" customWidth="1"/>
    <col min="15" max="15" width="15.28515625" style="1" bestFit="1" customWidth="1"/>
    <col min="16" max="16" width="19" style="1" customWidth="1"/>
    <col min="17" max="17" width="14.5703125" style="1" customWidth="1"/>
    <col min="18" max="20" width="18" style="1" customWidth="1"/>
    <col min="21" max="21" width="16" style="1" customWidth="1"/>
    <col min="22" max="22" width="38.7109375" style="1" customWidth="1"/>
  </cols>
  <sheetData>
    <row r="1" spans="1:52" ht="24" customHeight="1" x14ac:dyDescent="0.25">
      <c r="A1" s="59" t="s">
        <v>17</v>
      </c>
      <c r="B1" s="59"/>
      <c r="C1" s="59"/>
      <c r="D1" s="59"/>
      <c r="E1" s="59"/>
      <c r="F1" s="59"/>
      <c r="G1" s="59"/>
      <c r="H1" s="59"/>
      <c r="I1" s="59"/>
      <c r="J1" s="59"/>
      <c r="K1" s="59"/>
      <c r="L1" s="59"/>
      <c r="M1" s="59"/>
      <c r="N1" s="59"/>
      <c r="O1" s="59"/>
      <c r="P1" s="59"/>
      <c r="Q1" s="59"/>
      <c r="R1" s="59"/>
      <c r="S1" s="59"/>
      <c r="T1" s="59"/>
      <c r="U1" s="59"/>
      <c r="V1" s="59"/>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170</v>
      </c>
      <c r="B2" s="57"/>
      <c r="C2" s="57"/>
      <c r="D2" s="57"/>
      <c r="E2" s="57"/>
      <c r="F2" s="57"/>
      <c r="G2" s="57"/>
      <c r="H2" s="57"/>
      <c r="I2" s="57"/>
      <c r="J2" s="57"/>
      <c r="K2" s="57"/>
      <c r="L2" s="57"/>
      <c r="M2" s="57"/>
      <c r="N2" s="57"/>
      <c r="O2" s="57"/>
      <c r="P2" s="57"/>
      <c r="Q2" s="57"/>
      <c r="R2" s="57"/>
      <c r="S2" s="57"/>
      <c r="T2" s="57"/>
      <c r="U2" s="57"/>
      <c r="V2" s="57"/>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97" t="s">
        <v>640</v>
      </c>
      <c r="B3" s="98"/>
      <c r="C3" s="98"/>
      <c r="D3" s="98"/>
      <c r="E3" s="98"/>
      <c r="F3" s="98"/>
      <c r="G3" s="98"/>
      <c r="H3" s="98"/>
      <c r="I3" s="98"/>
      <c r="J3" s="98"/>
      <c r="K3" s="98"/>
      <c r="L3" s="98"/>
      <c r="M3" s="98"/>
      <c r="N3" s="98"/>
      <c r="O3" s="102" t="s">
        <v>641</v>
      </c>
      <c r="P3" s="102"/>
      <c r="Q3" s="102"/>
      <c r="R3" s="102"/>
      <c r="S3" s="102"/>
      <c r="T3" s="102"/>
      <c r="U3" s="102"/>
      <c r="V3" s="10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40.5" x14ac:dyDescent="0.25">
      <c r="A4" s="87" t="s">
        <v>171</v>
      </c>
      <c r="B4" s="87" t="s">
        <v>93</v>
      </c>
      <c r="C4" s="87" t="s">
        <v>708</v>
      </c>
      <c r="D4" s="87" t="s">
        <v>594</v>
      </c>
      <c r="E4" s="87" t="s">
        <v>94</v>
      </c>
      <c r="F4" s="87" t="s">
        <v>173</v>
      </c>
      <c r="G4" s="87" t="s">
        <v>98</v>
      </c>
      <c r="H4" s="87" t="s">
        <v>643</v>
      </c>
      <c r="I4" s="87" t="s">
        <v>595</v>
      </c>
      <c r="J4" s="87" t="s">
        <v>596</v>
      </c>
      <c r="K4" s="87" t="s">
        <v>174</v>
      </c>
      <c r="L4" s="87" t="s">
        <v>597</v>
      </c>
      <c r="M4" s="87" t="s">
        <v>101</v>
      </c>
      <c r="N4" s="87" t="s">
        <v>598</v>
      </c>
      <c r="O4" s="89" t="s">
        <v>599</v>
      </c>
      <c r="P4" s="89" t="s">
        <v>600</v>
      </c>
      <c r="Q4" s="89" t="s">
        <v>601</v>
      </c>
      <c r="R4" s="89" t="s">
        <v>602</v>
      </c>
      <c r="S4" s="89" t="s">
        <v>603</v>
      </c>
      <c r="T4" s="89" t="s">
        <v>178</v>
      </c>
      <c r="U4" s="89" t="s">
        <v>66</v>
      </c>
      <c r="V4" s="89" t="s">
        <v>67</v>
      </c>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95" t="s">
        <v>604</v>
      </c>
      <c r="B5" s="95" t="s">
        <v>605</v>
      </c>
      <c r="C5" s="103" t="s">
        <v>710</v>
      </c>
      <c r="D5" s="103" t="s">
        <v>709</v>
      </c>
      <c r="E5" s="95" t="s">
        <v>606</v>
      </c>
      <c r="F5" s="95" t="s">
        <v>607</v>
      </c>
      <c r="G5" s="95" t="s">
        <v>608</v>
      </c>
      <c r="H5" s="103" t="s">
        <v>642</v>
      </c>
      <c r="I5" s="103" t="s">
        <v>609</v>
      </c>
      <c r="J5" s="95" t="s">
        <v>610</v>
      </c>
      <c r="K5" s="95" t="s">
        <v>611</v>
      </c>
      <c r="L5" s="95" t="s">
        <v>612</v>
      </c>
      <c r="M5" s="95" t="s">
        <v>613</v>
      </c>
      <c r="N5" s="95" t="s">
        <v>614</v>
      </c>
      <c r="O5" s="95" t="s">
        <v>615</v>
      </c>
      <c r="P5" s="95" t="s">
        <v>616</v>
      </c>
      <c r="Q5" s="95" t="s">
        <v>617</v>
      </c>
      <c r="R5" s="95" t="s">
        <v>618</v>
      </c>
      <c r="S5" s="95" t="s">
        <v>619</v>
      </c>
      <c r="T5" s="95" t="s">
        <v>620</v>
      </c>
      <c r="U5" s="95" t="s">
        <v>621</v>
      </c>
      <c r="V5" s="95" t="s">
        <v>622</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67.5" x14ac:dyDescent="0.25">
      <c r="A6" s="96" t="s">
        <v>179</v>
      </c>
      <c r="B6" s="27" t="str">
        <f>IF(Table5[[#This Row],[Source Name]]="","-",Table5[[#This Row],[Source Name]])</f>
        <v>Enterprise Licensing System</v>
      </c>
      <c r="C6" s="96" t="s">
        <v>180</v>
      </c>
      <c r="D6" s="112" t="s">
        <v>711</v>
      </c>
      <c r="E6" s="96" t="s">
        <v>136</v>
      </c>
      <c r="F6" s="96" t="s">
        <v>623</v>
      </c>
      <c r="G6" s="96" t="s">
        <v>140</v>
      </c>
      <c r="H6" s="96" t="s">
        <v>624</v>
      </c>
      <c r="I6" s="96" t="s">
        <v>146</v>
      </c>
      <c r="J6" s="96" t="s">
        <v>625</v>
      </c>
      <c r="K6" s="96" t="s">
        <v>182</v>
      </c>
      <c r="L6" s="96" t="s">
        <v>626</v>
      </c>
      <c r="M6" s="96" t="s">
        <v>143</v>
      </c>
      <c r="N6" s="96" t="s">
        <v>141</v>
      </c>
      <c r="O6" s="96" t="s">
        <v>627</v>
      </c>
      <c r="P6" s="96" t="s">
        <v>141</v>
      </c>
      <c r="Q6" s="96" t="s">
        <v>628</v>
      </c>
      <c r="R6" s="96" t="s">
        <v>629</v>
      </c>
      <c r="S6" s="96" t="s">
        <v>141</v>
      </c>
      <c r="T6" s="96" t="s">
        <v>137</v>
      </c>
      <c r="U6" s="27" t="s">
        <v>630</v>
      </c>
      <c r="V6" s="96" t="s">
        <v>631</v>
      </c>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67.5" x14ac:dyDescent="0.25">
      <c r="A7" s="96" t="s">
        <v>185</v>
      </c>
      <c r="B7" s="27" t="str">
        <f>IF(Table5[[#This Row],[Source Name]]="","-",Table5[[#This Row],[Source Name]])</f>
        <v>Grant Payments File</v>
      </c>
      <c r="C7" s="96" t="s">
        <v>186</v>
      </c>
      <c r="D7" s="112" t="s">
        <v>712</v>
      </c>
      <c r="E7" s="96" t="s">
        <v>154</v>
      </c>
      <c r="F7" s="96" t="s">
        <v>632</v>
      </c>
      <c r="G7" s="96" t="s">
        <v>633</v>
      </c>
      <c r="H7" s="96" t="s">
        <v>634</v>
      </c>
      <c r="I7" s="96" t="s">
        <v>164</v>
      </c>
      <c r="J7" s="96" t="s">
        <v>625</v>
      </c>
      <c r="K7" s="96" t="s">
        <v>188</v>
      </c>
      <c r="L7" s="96" t="s">
        <v>635</v>
      </c>
      <c r="M7" s="96" t="s">
        <v>161</v>
      </c>
      <c r="N7" s="96" t="s">
        <v>141</v>
      </c>
      <c r="O7" s="96" t="s">
        <v>627</v>
      </c>
      <c r="P7" s="96" t="s">
        <v>141</v>
      </c>
      <c r="Q7" s="96" t="s">
        <v>636</v>
      </c>
      <c r="R7" s="96" t="s">
        <v>637</v>
      </c>
      <c r="S7" s="96" t="s">
        <v>141</v>
      </c>
      <c r="T7" s="96" t="s">
        <v>155</v>
      </c>
      <c r="U7" s="27" t="s">
        <v>638</v>
      </c>
      <c r="V7" s="96" t="s">
        <v>639</v>
      </c>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ht="27" customHeight="1" x14ac:dyDescent="0.25">
      <c r="A8" s="27"/>
      <c r="B8" s="27" t="str">
        <f>IF(Table5[[#This Row],[Source Name]]="","-",Table5[[#This Row],[Source Name]])</f>
        <v>-</v>
      </c>
      <c r="C8" s="27"/>
      <c r="D8" s="27"/>
      <c r="E8" s="27"/>
      <c r="F8" s="27"/>
      <c r="G8" s="27"/>
      <c r="H8" s="27"/>
      <c r="I8" s="96"/>
      <c r="J8" s="27"/>
      <c r="K8" s="27"/>
      <c r="L8" s="27"/>
      <c r="M8" s="27"/>
      <c r="N8" s="27"/>
      <c r="O8" s="27"/>
      <c r="P8" s="27"/>
      <c r="Q8" s="27"/>
      <c r="R8" s="27"/>
      <c r="S8" s="27"/>
      <c r="T8" s="27"/>
      <c r="U8" s="27"/>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t="str">
        <f>IF(Table5[[#This Row],[Source Name]]="","-",Table5[[#This Row],[Source Name]])</f>
        <v>-</v>
      </c>
      <c r="C9" s="27"/>
      <c r="D9" s="27"/>
      <c r="E9" s="27"/>
      <c r="F9" s="27"/>
      <c r="G9" s="27"/>
      <c r="H9" s="27"/>
      <c r="I9" s="27"/>
      <c r="J9" s="27"/>
      <c r="K9" s="27"/>
      <c r="L9" s="27"/>
      <c r="M9" s="27"/>
      <c r="N9" s="27"/>
      <c r="O9" s="27"/>
      <c r="P9" s="27"/>
      <c r="Q9" s="27"/>
      <c r="R9" s="27"/>
      <c r="S9" s="27"/>
      <c r="T9" s="27"/>
      <c r="U9" s="27"/>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t="str">
        <f>IF(Table5[[#This Row],[Source Name]]="","-",Table5[[#This Row],[Source Name]])</f>
        <v>-</v>
      </c>
      <c r="C10" s="27"/>
      <c r="D10" s="27"/>
      <c r="E10" s="27"/>
      <c r="F10" s="27"/>
      <c r="G10" s="27"/>
      <c r="H10" s="27"/>
      <c r="I10" s="27"/>
      <c r="J10" s="27"/>
      <c r="K10" s="27"/>
      <c r="L10" s="27"/>
      <c r="M10" s="27"/>
      <c r="N10" s="27"/>
      <c r="O10" s="27"/>
      <c r="P10" s="27"/>
      <c r="Q10" s="27"/>
      <c r="R10" s="27"/>
      <c r="S10" s="27"/>
      <c r="T10" s="27"/>
      <c r="U10" s="27"/>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t="str">
        <f>IF(Table5[[#This Row],[Source Name]]="","-",Table5[[#This Row],[Source Name]])</f>
        <v>-</v>
      </c>
      <c r="C11" s="27"/>
      <c r="D11" s="27"/>
      <c r="E11" s="27"/>
      <c r="F11" s="27"/>
      <c r="G11" s="27"/>
      <c r="H11" s="27"/>
      <c r="I11" s="27"/>
      <c r="J11" s="27"/>
      <c r="K11" s="27"/>
      <c r="L11" s="27"/>
      <c r="M11" s="27"/>
      <c r="N11" s="27"/>
      <c r="O11" s="27"/>
      <c r="P11" s="27"/>
      <c r="Q11" s="27"/>
      <c r="R11" s="27"/>
      <c r="S11" s="27"/>
      <c r="T11" s="27"/>
      <c r="U11" s="27"/>
    </row>
    <row r="12" spans="1:52" x14ac:dyDescent="0.25">
      <c r="A12" s="27"/>
      <c r="B12" s="27" t="str">
        <f>IF(Table5[[#This Row],[Source Name]]="","-",Table5[[#This Row],[Source Name]])</f>
        <v>-</v>
      </c>
      <c r="C12" s="27"/>
      <c r="D12" s="27"/>
      <c r="E12" s="27"/>
      <c r="F12" s="27"/>
      <c r="G12" s="27"/>
      <c r="H12" s="27"/>
      <c r="I12" s="27"/>
      <c r="J12" s="27"/>
      <c r="K12" s="27"/>
      <c r="L12" s="27"/>
      <c r="M12" s="27"/>
      <c r="N12" s="27"/>
      <c r="O12" s="27"/>
      <c r="P12" s="27"/>
      <c r="Q12" s="27"/>
      <c r="R12" s="27"/>
      <c r="S12" s="27"/>
      <c r="T12" s="27"/>
      <c r="U12" s="27"/>
    </row>
    <row r="13" spans="1:52" x14ac:dyDescent="0.25">
      <c r="A13" s="27"/>
      <c r="B13" s="27" t="str">
        <f>IF(Table5[[#This Row],[Source Name]]="","-",Table5[[#This Row],[Source Name]])</f>
        <v>-</v>
      </c>
      <c r="C13" s="27"/>
      <c r="D13" s="27"/>
      <c r="E13" s="27"/>
      <c r="F13" s="27"/>
      <c r="G13" s="27"/>
      <c r="H13" s="27"/>
      <c r="I13" s="27"/>
      <c r="J13" s="27"/>
      <c r="K13" s="27"/>
      <c r="L13" s="27"/>
      <c r="M13" s="27"/>
      <c r="N13" s="27"/>
      <c r="O13" s="27"/>
      <c r="P13" s="27"/>
      <c r="Q13" s="27"/>
      <c r="R13" s="27"/>
      <c r="S13" s="27"/>
      <c r="T13" s="27"/>
      <c r="U13" s="27"/>
    </row>
    <row r="14" spans="1:52" x14ac:dyDescent="0.25">
      <c r="A14" s="27"/>
      <c r="B14" s="27" t="str">
        <f>IF(Table5[[#This Row],[Source Name]]="","-",Table5[[#This Row],[Source Name]])</f>
        <v>-</v>
      </c>
      <c r="C14" s="27"/>
      <c r="D14" s="27"/>
      <c r="E14" s="27"/>
      <c r="F14" s="27"/>
      <c r="G14" s="27"/>
      <c r="H14" s="27"/>
      <c r="I14" s="27"/>
      <c r="J14" s="27"/>
      <c r="K14" s="27"/>
      <c r="L14" s="27"/>
      <c r="M14" s="27"/>
      <c r="N14" s="27"/>
      <c r="O14" s="27"/>
      <c r="P14" s="27"/>
      <c r="Q14" s="27"/>
      <c r="R14" s="27"/>
      <c r="S14" s="27"/>
      <c r="T14" s="27"/>
      <c r="U14" s="27"/>
    </row>
    <row r="15" spans="1:52" x14ac:dyDescent="0.25">
      <c r="A15" s="27"/>
      <c r="B15" s="27" t="str">
        <f>IF(Table5[[#This Row],[Source Name]]="","-",Table5[[#This Row],[Source Name]])</f>
        <v>-</v>
      </c>
      <c r="C15" s="27"/>
      <c r="D15" s="27"/>
      <c r="E15" s="27"/>
      <c r="F15" s="27"/>
      <c r="G15" s="27"/>
      <c r="H15" s="27"/>
      <c r="I15" s="27"/>
      <c r="J15" s="27"/>
      <c r="K15" s="27"/>
      <c r="L15" s="27"/>
      <c r="M15" s="27"/>
      <c r="N15" s="27"/>
      <c r="O15" s="27"/>
      <c r="P15" s="27"/>
      <c r="Q15" s="27"/>
      <c r="R15" s="27"/>
      <c r="S15" s="27"/>
      <c r="T15" s="27"/>
      <c r="U15" s="27"/>
    </row>
    <row r="16" spans="1:52" x14ac:dyDescent="0.25">
      <c r="A16" s="27"/>
      <c r="B16" s="27" t="str">
        <f>IF(Table5[[#This Row],[Source Name]]="","-",Table5[[#This Row],[Source Name]])</f>
        <v>-</v>
      </c>
      <c r="C16" s="27"/>
      <c r="D16" s="27"/>
      <c r="E16" s="27"/>
      <c r="F16" s="27"/>
      <c r="G16" s="27"/>
      <c r="H16" s="27"/>
      <c r="I16" s="27"/>
      <c r="J16" s="27"/>
      <c r="K16" s="27"/>
      <c r="L16" s="27"/>
      <c r="M16" s="27"/>
      <c r="N16" s="27"/>
      <c r="O16" s="27"/>
      <c r="P16" s="27"/>
      <c r="Q16" s="27"/>
      <c r="R16" s="27"/>
      <c r="S16" s="27"/>
      <c r="T16" s="27"/>
      <c r="U16" s="27"/>
    </row>
    <row r="17" spans="1:21" x14ac:dyDescent="0.25">
      <c r="A17" s="27"/>
      <c r="B17" s="27" t="str">
        <f>IF(Table5[[#This Row],[Source Name]]="","-",Table5[[#This Row],[Source Name]])</f>
        <v>-</v>
      </c>
      <c r="C17" s="27"/>
      <c r="D17" s="27"/>
      <c r="E17" s="27"/>
      <c r="F17" s="27"/>
      <c r="G17" s="27"/>
      <c r="H17" s="27"/>
      <c r="I17" s="27"/>
      <c r="J17" s="27"/>
      <c r="K17" s="27"/>
      <c r="L17" s="27"/>
      <c r="M17" s="27"/>
      <c r="N17" s="27"/>
      <c r="O17" s="27"/>
      <c r="P17" s="27"/>
      <c r="Q17" s="27"/>
      <c r="R17" s="27"/>
      <c r="S17" s="27"/>
      <c r="T17" s="27"/>
      <c r="U17" s="27"/>
    </row>
    <row r="18" spans="1:21" x14ac:dyDescent="0.25">
      <c r="A18" s="27"/>
      <c r="B18" s="27" t="str">
        <f>IF(Table5[[#This Row],[Source Name]]="","-",Table5[[#This Row],[Source Name]])</f>
        <v>-</v>
      </c>
      <c r="C18" s="27"/>
      <c r="D18" s="27"/>
      <c r="E18" s="27"/>
      <c r="F18" s="27"/>
      <c r="G18" s="27"/>
      <c r="H18" s="27"/>
      <c r="I18" s="27"/>
      <c r="J18" s="27"/>
      <c r="K18" s="27"/>
      <c r="L18" s="27"/>
      <c r="M18" s="27"/>
      <c r="N18" s="27"/>
      <c r="O18" s="27"/>
      <c r="P18" s="27"/>
      <c r="Q18" s="27"/>
      <c r="R18" s="27"/>
      <c r="S18" s="27"/>
      <c r="T18" s="27"/>
      <c r="U18" s="27"/>
    </row>
    <row r="19" spans="1:21" x14ac:dyDescent="0.25">
      <c r="A19" s="27"/>
      <c r="B19" s="27" t="str">
        <f>IF(Table5[[#This Row],[Source Name]]="","-",Table5[[#This Row],[Source Name]])</f>
        <v>-</v>
      </c>
      <c r="C19" s="27"/>
      <c r="D19" s="27"/>
      <c r="E19" s="27"/>
      <c r="F19" s="27"/>
      <c r="G19" s="27"/>
      <c r="H19" s="27"/>
      <c r="I19" s="27"/>
      <c r="J19" s="27"/>
      <c r="K19" s="27"/>
      <c r="L19" s="27"/>
      <c r="M19" s="27"/>
      <c r="N19" s="27"/>
      <c r="O19" s="27"/>
      <c r="P19" s="27"/>
      <c r="Q19" s="27"/>
      <c r="R19" s="27"/>
      <c r="S19" s="27"/>
      <c r="T19" s="27"/>
      <c r="U19" s="27"/>
    </row>
    <row r="20" spans="1:21" x14ac:dyDescent="0.25">
      <c r="A20" s="27"/>
      <c r="B20" s="27" t="str">
        <f>IF(Table5[[#This Row],[Source Name]]="","-",Table5[[#This Row],[Source Name]])</f>
        <v>-</v>
      </c>
      <c r="C20" s="27"/>
      <c r="D20" s="27"/>
      <c r="E20" s="27"/>
      <c r="F20" s="27"/>
      <c r="G20" s="27"/>
      <c r="H20" s="27"/>
      <c r="I20" s="27"/>
      <c r="J20" s="27"/>
      <c r="K20" s="27"/>
      <c r="L20" s="27"/>
      <c r="M20" s="27"/>
      <c r="N20" s="27"/>
      <c r="O20" s="27"/>
      <c r="P20" s="27"/>
      <c r="Q20" s="27"/>
      <c r="R20" s="27"/>
      <c r="S20" s="27"/>
      <c r="T20" s="27"/>
      <c r="U20" s="27"/>
    </row>
    <row r="21" spans="1:21" x14ac:dyDescent="0.25">
      <c r="A21" s="27"/>
      <c r="B21" s="27" t="str">
        <f>IF(Table5[[#This Row],[Source Name]]="","-",Table5[[#This Row],[Source Name]])</f>
        <v>-</v>
      </c>
      <c r="C21" s="27"/>
      <c r="D21" s="27"/>
      <c r="E21" s="27"/>
      <c r="F21" s="27"/>
      <c r="G21" s="27"/>
      <c r="H21" s="27"/>
      <c r="I21" s="27"/>
      <c r="J21" s="27"/>
      <c r="K21" s="27"/>
      <c r="L21" s="27"/>
      <c r="M21" s="27"/>
      <c r="N21" s="27"/>
      <c r="O21" s="27"/>
      <c r="P21" s="27"/>
      <c r="Q21" s="27"/>
      <c r="R21" s="27"/>
      <c r="S21" s="27"/>
      <c r="T21" s="27"/>
      <c r="U21" s="27"/>
    </row>
    <row r="22" spans="1:21" x14ac:dyDescent="0.25">
      <c r="A22" s="27"/>
      <c r="B22" s="27" t="str">
        <f>IF(Table5[[#This Row],[Source Name]]="","-",Table5[[#This Row],[Source Name]])</f>
        <v>-</v>
      </c>
      <c r="C22" s="27"/>
      <c r="D22" s="27"/>
      <c r="E22" s="27"/>
      <c r="F22" s="27"/>
      <c r="G22" s="27"/>
      <c r="H22" s="27"/>
      <c r="I22" s="27"/>
      <c r="J22" s="27"/>
      <c r="K22" s="27"/>
      <c r="L22" s="27"/>
      <c r="M22" s="27"/>
      <c r="N22" s="27"/>
      <c r="O22" s="27"/>
      <c r="P22" s="27"/>
      <c r="Q22" s="27"/>
      <c r="R22" s="27"/>
      <c r="S22" s="27"/>
      <c r="T22" s="27"/>
      <c r="U22" s="27"/>
    </row>
    <row r="23" spans="1:21" x14ac:dyDescent="0.25">
      <c r="A23" s="27"/>
      <c r="B23" s="27" t="str">
        <f>IF(Table5[[#This Row],[Source Name]]="","-",Table5[[#This Row],[Source Name]])</f>
        <v>-</v>
      </c>
      <c r="C23" s="27"/>
      <c r="D23" s="27"/>
      <c r="E23" s="27"/>
      <c r="F23" s="27"/>
      <c r="G23" s="27"/>
      <c r="H23" s="27"/>
      <c r="I23" s="27"/>
      <c r="J23" s="27"/>
      <c r="K23" s="27"/>
      <c r="L23" s="27"/>
      <c r="M23" s="27"/>
      <c r="N23" s="27"/>
      <c r="O23" s="27"/>
      <c r="P23" s="27"/>
      <c r="Q23" s="27"/>
      <c r="R23" s="27"/>
      <c r="S23" s="27"/>
      <c r="T23" s="27"/>
      <c r="U23" s="27"/>
    </row>
    <row r="24" spans="1:21" x14ac:dyDescent="0.25">
      <c r="A24" s="27"/>
      <c r="B24" s="27" t="str">
        <f>IF(Table5[[#This Row],[Source Name]]="","-",Table5[[#This Row],[Source Name]])</f>
        <v>-</v>
      </c>
      <c r="C24" s="27"/>
      <c r="D24" s="27"/>
      <c r="E24" s="27"/>
      <c r="F24" s="27"/>
      <c r="G24" s="27"/>
      <c r="H24" s="27"/>
      <c r="I24" s="27"/>
      <c r="J24" s="27"/>
      <c r="K24" s="27"/>
      <c r="L24" s="27"/>
      <c r="M24" s="27"/>
      <c r="N24" s="27"/>
      <c r="O24" s="27"/>
      <c r="P24" s="27"/>
      <c r="Q24" s="27"/>
      <c r="R24" s="27"/>
      <c r="S24" s="27"/>
      <c r="T24" s="27"/>
      <c r="U24" s="27"/>
    </row>
    <row r="25" spans="1:21" x14ac:dyDescent="0.25">
      <c r="A25" s="27"/>
      <c r="B25" s="27" t="str">
        <f>IF(Table5[[#This Row],[Source Name]]="","-",Table5[[#This Row],[Source Name]])</f>
        <v>-</v>
      </c>
      <c r="C25" s="27"/>
      <c r="D25" s="27"/>
      <c r="E25" s="27"/>
      <c r="F25" s="27"/>
      <c r="G25" s="27"/>
      <c r="H25" s="27"/>
      <c r="I25" s="27"/>
      <c r="J25" s="27"/>
      <c r="K25" s="27"/>
      <c r="L25" s="27"/>
      <c r="M25" s="27"/>
      <c r="N25" s="27"/>
      <c r="O25" s="27"/>
      <c r="P25" s="27"/>
      <c r="Q25" s="27"/>
      <c r="R25" s="27"/>
      <c r="S25" s="27"/>
      <c r="T25" s="27"/>
      <c r="U25" s="27"/>
    </row>
    <row r="26" spans="1:21" x14ac:dyDescent="0.25">
      <c r="A26" s="27"/>
      <c r="B26" s="27" t="str">
        <f>IF(Table5[[#This Row],[Source Name]]="","-",Table5[[#This Row],[Source Name]])</f>
        <v>-</v>
      </c>
      <c r="C26" s="27"/>
      <c r="D26" s="27"/>
      <c r="E26" s="27"/>
      <c r="F26" s="27"/>
      <c r="G26" s="27"/>
      <c r="H26" s="27"/>
      <c r="I26" s="27"/>
      <c r="J26" s="27"/>
      <c r="K26" s="27"/>
      <c r="L26" s="27"/>
      <c r="M26" s="27"/>
      <c r="N26" s="27"/>
      <c r="O26" s="27"/>
      <c r="P26" s="27"/>
      <c r="Q26" s="27"/>
      <c r="R26" s="27"/>
      <c r="S26" s="27"/>
      <c r="T26" s="27"/>
      <c r="U26" s="27"/>
    </row>
    <row r="27" spans="1:21" x14ac:dyDescent="0.25">
      <c r="A27" s="27"/>
      <c r="B27" s="27" t="str">
        <f>IF(Table5[[#This Row],[Source Name]]="","-",Table5[[#This Row],[Source Name]])</f>
        <v>-</v>
      </c>
      <c r="C27" s="27"/>
      <c r="D27" s="27"/>
      <c r="E27" s="27"/>
      <c r="F27" s="27"/>
      <c r="G27" s="27"/>
      <c r="H27" s="27"/>
      <c r="I27" s="27"/>
      <c r="J27" s="27"/>
      <c r="K27" s="27"/>
      <c r="L27" s="27"/>
      <c r="M27" s="27"/>
      <c r="N27" s="27"/>
      <c r="O27" s="27"/>
      <c r="P27" s="27"/>
      <c r="Q27" s="27"/>
      <c r="R27" s="27"/>
      <c r="S27" s="27"/>
      <c r="T27" s="27"/>
      <c r="U27" s="27"/>
    </row>
    <row r="28" spans="1:21" x14ac:dyDescent="0.25">
      <c r="A28" s="27"/>
      <c r="B28" s="27" t="str">
        <f>IF(Table5[[#This Row],[Source Name]]="","-",Table5[[#This Row],[Source Name]])</f>
        <v>-</v>
      </c>
      <c r="C28" s="27"/>
      <c r="D28" s="27"/>
      <c r="E28" s="27"/>
      <c r="F28" s="27"/>
      <c r="G28" s="27"/>
      <c r="H28" s="27"/>
      <c r="I28" s="27"/>
      <c r="J28" s="27"/>
      <c r="K28" s="27"/>
      <c r="L28" s="27"/>
      <c r="M28" s="27"/>
      <c r="N28" s="27"/>
      <c r="O28" s="27"/>
      <c r="P28" s="27"/>
      <c r="Q28" s="27"/>
      <c r="R28" s="27"/>
      <c r="S28" s="27"/>
      <c r="T28" s="27"/>
      <c r="U28" s="27"/>
    </row>
    <row r="29" spans="1:21" x14ac:dyDescent="0.25">
      <c r="A29" s="27"/>
      <c r="B29" s="27" t="str">
        <f>IF(Table5[[#This Row],[Source Name]]="","-",Table5[[#This Row],[Source Name]])</f>
        <v>-</v>
      </c>
      <c r="C29" s="27"/>
      <c r="D29" s="27"/>
      <c r="E29" s="27"/>
      <c r="F29" s="27"/>
      <c r="G29" s="27"/>
      <c r="H29" s="27"/>
      <c r="I29" s="27"/>
      <c r="J29" s="27"/>
      <c r="K29" s="27"/>
      <c r="L29" s="27"/>
      <c r="M29" s="27"/>
      <c r="N29" s="27"/>
      <c r="O29" s="27"/>
      <c r="P29" s="27"/>
      <c r="Q29" s="27"/>
      <c r="R29" s="27"/>
      <c r="S29" s="27"/>
      <c r="T29" s="27"/>
      <c r="U29" s="27"/>
    </row>
    <row r="30" spans="1:21" x14ac:dyDescent="0.25">
      <c r="A30" s="27"/>
      <c r="B30" s="27" t="str">
        <f>IF(Table5[[#This Row],[Source Name]]="","-",Table5[[#This Row],[Source Name]])</f>
        <v>-</v>
      </c>
      <c r="C30" s="27"/>
      <c r="D30" s="27"/>
      <c r="E30" s="27"/>
      <c r="F30" s="27"/>
      <c r="G30" s="27"/>
      <c r="H30" s="27"/>
      <c r="I30" s="27"/>
      <c r="J30" s="27"/>
      <c r="K30" s="27"/>
      <c r="L30" s="27"/>
      <c r="M30" s="27"/>
      <c r="N30" s="27"/>
      <c r="O30" s="27"/>
      <c r="P30" s="27"/>
      <c r="Q30" s="27"/>
      <c r="R30" s="27"/>
      <c r="S30" s="27"/>
      <c r="T30" s="27"/>
      <c r="U30" s="27"/>
    </row>
    <row r="31" spans="1:21" x14ac:dyDescent="0.25">
      <c r="A31" s="27"/>
      <c r="B31" s="27" t="str">
        <f>IF(Table5[[#This Row],[Source Name]]="","-",Table5[[#This Row],[Source Name]])</f>
        <v>-</v>
      </c>
      <c r="C31" s="27"/>
      <c r="D31" s="27"/>
      <c r="E31" s="27"/>
      <c r="F31" s="27"/>
      <c r="G31" s="27"/>
      <c r="H31" s="27"/>
      <c r="I31" s="27"/>
      <c r="J31" s="27"/>
      <c r="K31" s="27"/>
      <c r="L31" s="27"/>
      <c r="M31" s="27"/>
      <c r="N31" s="27"/>
      <c r="O31" s="27"/>
      <c r="P31" s="27"/>
      <c r="Q31" s="27"/>
      <c r="R31" s="27"/>
      <c r="S31" s="27"/>
      <c r="T31" s="27"/>
      <c r="U31" s="27"/>
    </row>
    <row r="32" spans="1:21" x14ac:dyDescent="0.25">
      <c r="A32" s="27"/>
      <c r="B32" s="27" t="str">
        <f>IF(Table5[[#This Row],[Source Name]]="","-",Table5[[#This Row],[Source Name]])</f>
        <v>-</v>
      </c>
      <c r="C32" s="27"/>
      <c r="D32" s="27"/>
      <c r="E32" s="27"/>
      <c r="F32" s="27"/>
      <c r="G32" s="27"/>
      <c r="H32" s="27"/>
      <c r="I32" s="27"/>
      <c r="J32" s="27"/>
      <c r="K32" s="27"/>
      <c r="L32" s="27"/>
      <c r="M32" s="27"/>
      <c r="N32" s="27"/>
      <c r="O32" s="27"/>
      <c r="P32" s="27"/>
      <c r="Q32" s="27"/>
      <c r="R32" s="27"/>
      <c r="S32" s="27"/>
      <c r="T32" s="27"/>
      <c r="U32" s="27"/>
    </row>
    <row r="33" spans="1:21" x14ac:dyDescent="0.25">
      <c r="A33" s="27"/>
      <c r="B33" s="27" t="str">
        <f>IF(Table5[[#This Row],[Source Name]]="","-",Table5[[#This Row],[Source Name]])</f>
        <v>-</v>
      </c>
      <c r="C33" s="27"/>
      <c r="D33" s="27"/>
      <c r="E33" s="27"/>
      <c r="F33" s="27"/>
      <c r="G33" s="27"/>
      <c r="H33" s="27"/>
      <c r="I33" s="27"/>
      <c r="J33" s="27"/>
      <c r="K33" s="27"/>
      <c r="L33" s="27"/>
      <c r="M33" s="27"/>
      <c r="N33" s="27"/>
      <c r="O33" s="27"/>
      <c r="P33" s="27"/>
      <c r="Q33" s="27"/>
      <c r="R33" s="27"/>
      <c r="S33" s="27"/>
      <c r="T33" s="27"/>
      <c r="U33" s="27"/>
    </row>
    <row r="34" spans="1:21" x14ac:dyDescent="0.25">
      <c r="A34" s="27"/>
      <c r="B34" s="27" t="str">
        <f>IF(Table5[[#This Row],[Source Name]]="","-",Table5[[#This Row],[Source Name]])</f>
        <v>-</v>
      </c>
      <c r="C34" s="27"/>
      <c r="D34" s="27"/>
      <c r="E34" s="27"/>
      <c r="F34" s="27"/>
      <c r="G34" s="27"/>
      <c r="H34" s="27"/>
      <c r="I34" s="27"/>
      <c r="J34" s="27"/>
      <c r="K34" s="27"/>
      <c r="L34" s="27"/>
      <c r="M34" s="27"/>
      <c r="N34" s="27"/>
      <c r="O34" s="27"/>
      <c r="P34" s="27"/>
      <c r="Q34" s="27"/>
      <c r="R34" s="27"/>
      <c r="S34" s="27"/>
      <c r="T34" s="27"/>
      <c r="U34" s="27"/>
    </row>
    <row r="35" spans="1:21" x14ac:dyDescent="0.25">
      <c r="A35" s="27"/>
      <c r="B35" s="27" t="str">
        <f>IF(Table5[[#This Row],[Source Name]]="","-",Table5[[#This Row],[Source Name]])</f>
        <v>-</v>
      </c>
      <c r="C35" s="27"/>
      <c r="D35" s="27"/>
      <c r="E35" s="27"/>
      <c r="F35" s="27"/>
      <c r="G35" s="27"/>
      <c r="H35" s="27"/>
      <c r="I35" s="27"/>
      <c r="J35" s="27"/>
      <c r="K35" s="27"/>
      <c r="L35" s="27"/>
      <c r="M35" s="27"/>
      <c r="N35" s="27"/>
      <c r="O35" s="27"/>
      <c r="P35" s="27"/>
      <c r="Q35" s="27"/>
      <c r="R35" s="27"/>
      <c r="S35" s="27"/>
      <c r="T35" s="27"/>
      <c r="U35" s="27"/>
    </row>
    <row r="36" spans="1:21" x14ac:dyDescent="0.25">
      <c r="A36" s="27"/>
      <c r="B36" s="27" t="str">
        <f>IF(Table5[[#This Row],[Source Name]]="","-",Table5[[#This Row],[Source Name]])</f>
        <v>-</v>
      </c>
      <c r="C36" s="27"/>
      <c r="D36" s="27"/>
      <c r="E36" s="27"/>
      <c r="F36" s="27"/>
      <c r="G36" s="27"/>
      <c r="H36" s="27"/>
      <c r="I36" s="27"/>
      <c r="J36" s="27"/>
      <c r="K36" s="27"/>
      <c r="L36" s="27"/>
      <c r="M36" s="27"/>
      <c r="N36" s="27"/>
      <c r="O36" s="27"/>
      <c r="P36" s="27"/>
      <c r="Q36" s="27"/>
      <c r="R36" s="27"/>
      <c r="S36" s="27"/>
      <c r="T36" s="27"/>
      <c r="U36" s="27"/>
    </row>
    <row r="37" spans="1:21" x14ac:dyDescent="0.25">
      <c r="A37" s="27"/>
      <c r="B37" s="27" t="str">
        <f>IF(Table5[[#This Row],[Source Name]]="","-",Table5[[#This Row],[Source Name]])</f>
        <v>-</v>
      </c>
      <c r="C37" s="27"/>
      <c r="D37" s="27"/>
      <c r="E37" s="27"/>
      <c r="F37" s="27"/>
      <c r="G37" s="27"/>
      <c r="H37" s="27"/>
      <c r="I37" s="27"/>
      <c r="J37" s="27"/>
      <c r="K37" s="27"/>
      <c r="L37" s="27"/>
      <c r="M37" s="27"/>
      <c r="N37" s="27"/>
      <c r="O37" s="27"/>
      <c r="P37" s="27"/>
      <c r="Q37" s="27"/>
      <c r="R37" s="27"/>
      <c r="S37" s="27"/>
      <c r="T37" s="27"/>
      <c r="U37" s="27"/>
    </row>
    <row r="38" spans="1:21" x14ac:dyDescent="0.25">
      <c r="A38" s="27"/>
      <c r="B38" s="27" t="str">
        <f>IF(Table5[[#This Row],[Source Name]]="","-",Table5[[#This Row],[Source Name]])</f>
        <v>-</v>
      </c>
      <c r="C38" s="27"/>
      <c r="D38" s="27"/>
      <c r="E38" s="27"/>
      <c r="F38" s="27"/>
      <c r="G38" s="27"/>
      <c r="H38" s="27"/>
      <c r="I38" s="27"/>
      <c r="J38" s="27"/>
      <c r="K38" s="27"/>
      <c r="L38" s="27"/>
      <c r="M38" s="27"/>
      <c r="N38" s="27"/>
      <c r="O38" s="27"/>
      <c r="P38" s="27"/>
      <c r="Q38" s="27"/>
      <c r="R38" s="27"/>
      <c r="S38" s="27"/>
      <c r="T38" s="27"/>
      <c r="U38" s="27"/>
    </row>
    <row r="39" spans="1:21" x14ac:dyDescent="0.25">
      <c r="A39" s="27"/>
      <c r="B39" s="27" t="str">
        <f>IF(Table5[[#This Row],[Source Name]]="","-",Table5[[#This Row],[Source Name]])</f>
        <v>-</v>
      </c>
      <c r="C39" s="27"/>
      <c r="D39" s="27"/>
      <c r="E39" s="27"/>
      <c r="F39" s="27"/>
      <c r="G39" s="27"/>
      <c r="H39" s="27"/>
      <c r="I39" s="27"/>
      <c r="J39" s="27"/>
      <c r="K39" s="27"/>
      <c r="L39" s="27"/>
      <c r="M39" s="27"/>
      <c r="N39" s="27"/>
      <c r="O39" s="27"/>
      <c r="P39" s="27"/>
      <c r="Q39" s="27"/>
      <c r="R39" s="27"/>
      <c r="S39" s="27"/>
      <c r="T39" s="27"/>
      <c r="U39" s="27"/>
    </row>
    <row r="40" spans="1:21" x14ac:dyDescent="0.25">
      <c r="A40" s="27"/>
      <c r="B40" s="27" t="str">
        <f>IF(Table5[[#This Row],[Source Name]]="","-",Table5[[#This Row],[Source Name]])</f>
        <v>-</v>
      </c>
      <c r="C40" s="27"/>
      <c r="D40" s="27"/>
      <c r="E40" s="27"/>
      <c r="F40" s="27"/>
      <c r="G40" s="27"/>
      <c r="H40" s="27"/>
      <c r="I40" s="27"/>
      <c r="J40" s="27"/>
      <c r="K40" s="27"/>
      <c r="L40" s="27"/>
      <c r="M40" s="27"/>
      <c r="N40" s="27"/>
      <c r="O40" s="27"/>
      <c r="P40" s="27"/>
      <c r="Q40" s="27"/>
      <c r="R40" s="27"/>
      <c r="S40" s="27"/>
      <c r="T40" s="27"/>
      <c r="U40" s="27"/>
    </row>
    <row r="41" spans="1:21" x14ac:dyDescent="0.25">
      <c r="A41" s="27"/>
      <c r="B41" s="27" t="str">
        <f>IF(Table5[[#This Row],[Source Name]]="","-",Table5[[#This Row],[Source Name]])</f>
        <v>-</v>
      </c>
      <c r="C41" s="27"/>
      <c r="D41" s="27"/>
      <c r="E41" s="27"/>
      <c r="F41" s="27"/>
      <c r="G41" s="27"/>
      <c r="H41" s="27"/>
      <c r="I41" s="27"/>
      <c r="J41" s="27"/>
      <c r="K41" s="27"/>
      <c r="L41" s="27"/>
      <c r="M41" s="27"/>
      <c r="N41" s="27"/>
      <c r="O41" s="27"/>
      <c r="P41" s="27"/>
      <c r="Q41" s="27"/>
      <c r="R41" s="27"/>
      <c r="S41" s="27"/>
      <c r="T41" s="27"/>
      <c r="U41" s="27"/>
    </row>
    <row r="42" spans="1:21" x14ac:dyDescent="0.25">
      <c r="A42" s="27"/>
      <c r="B42" s="27" t="str">
        <f>IF(Table5[[#This Row],[Source Name]]="","-",Table5[[#This Row],[Source Name]])</f>
        <v>-</v>
      </c>
      <c r="C42" s="27"/>
      <c r="D42" s="27"/>
      <c r="E42" s="27"/>
      <c r="F42" s="27"/>
      <c r="G42" s="27"/>
      <c r="H42" s="27"/>
      <c r="I42" s="27"/>
      <c r="J42" s="27"/>
      <c r="K42" s="27"/>
      <c r="L42" s="27"/>
      <c r="M42" s="27"/>
      <c r="N42" s="27"/>
      <c r="O42" s="27"/>
      <c r="P42" s="27"/>
      <c r="Q42" s="27"/>
      <c r="R42" s="27"/>
      <c r="S42" s="27"/>
      <c r="T42" s="27"/>
      <c r="U42" s="27"/>
    </row>
    <row r="43" spans="1:21" x14ac:dyDescent="0.25">
      <c r="A43" s="27"/>
      <c r="B43" s="27" t="str">
        <f>IF(Table5[[#This Row],[Source Name]]="","-",Table5[[#This Row],[Source Name]])</f>
        <v>-</v>
      </c>
      <c r="C43" s="27"/>
      <c r="D43" s="27"/>
      <c r="E43" s="27"/>
      <c r="F43" s="27"/>
      <c r="G43" s="27"/>
      <c r="H43" s="27"/>
      <c r="I43" s="27"/>
      <c r="J43" s="27"/>
      <c r="K43" s="27"/>
      <c r="L43" s="27"/>
      <c r="M43" s="27"/>
      <c r="N43" s="27"/>
      <c r="O43" s="27"/>
      <c r="P43" s="27"/>
      <c r="Q43" s="27"/>
      <c r="R43" s="27"/>
      <c r="S43" s="27"/>
      <c r="T43" s="27"/>
      <c r="U43" s="27"/>
    </row>
    <row r="44" spans="1:21" x14ac:dyDescent="0.25">
      <c r="A44" s="27"/>
      <c r="B44" s="27" t="str">
        <f>IF(Table5[[#This Row],[Source Name]]="","-",Table5[[#This Row],[Source Name]])</f>
        <v>-</v>
      </c>
      <c r="C44" s="27"/>
      <c r="D44" s="27"/>
      <c r="E44" s="27"/>
      <c r="F44" s="27"/>
      <c r="G44" s="27"/>
      <c r="H44" s="27"/>
      <c r="I44" s="27"/>
      <c r="J44" s="27"/>
      <c r="K44" s="27"/>
      <c r="L44" s="27"/>
      <c r="M44" s="27"/>
      <c r="N44" s="27"/>
      <c r="O44" s="27"/>
      <c r="P44" s="27"/>
      <c r="Q44" s="27"/>
      <c r="R44" s="27"/>
      <c r="S44" s="27"/>
      <c r="T44" s="27"/>
      <c r="U44" s="27"/>
    </row>
    <row r="45" spans="1:21" x14ac:dyDescent="0.25">
      <c r="A45" s="27"/>
      <c r="B45" s="27" t="str">
        <f>IF(Table5[[#This Row],[Source Name]]="","-",Table5[[#This Row],[Source Name]])</f>
        <v>-</v>
      </c>
      <c r="C45" s="27"/>
      <c r="D45" s="27"/>
      <c r="E45" s="27"/>
      <c r="F45" s="27"/>
      <c r="G45" s="27"/>
      <c r="H45" s="27"/>
      <c r="I45" s="27"/>
      <c r="J45" s="27"/>
      <c r="K45" s="27"/>
      <c r="L45" s="27"/>
      <c r="M45" s="27"/>
      <c r="N45" s="27"/>
      <c r="O45" s="27"/>
      <c r="P45" s="27"/>
      <c r="Q45" s="27"/>
      <c r="R45" s="27"/>
      <c r="S45" s="27"/>
      <c r="T45" s="27"/>
      <c r="U45" s="27"/>
    </row>
    <row r="46" spans="1:21" x14ac:dyDescent="0.25">
      <c r="A46" s="27"/>
      <c r="B46" s="27" t="str">
        <f>IF(Table5[[#This Row],[Source Name]]="","-",Table5[[#This Row],[Source Name]])</f>
        <v>-</v>
      </c>
      <c r="C46" s="27"/>
      <c r="D46" s="27"/>
      <c r="E46" s="27"/>
      <c r="F46" s="27"/>
      <c r="G46" s="27"/>
      <c r="H46" s="27"/>
      <c r="I46" s="27"/>
      <c r="J46" s="27"/>
      <c r="K46" s="27"/>
      <c r="L46" s="27"/>
      <c r="M46" s="27"/>
      <c r="N46" s="27"/>
      <c r="O46" s="27"/>
      <c r="P46" s="27"/>
      <c r="Q46" s="27"/>
      <c r="R46" s="27"/>
      <c r="S46" s="27"/>
      <c r="T46" s="27"/>
      <c r="U46" s="27"/>
    </row>
    <row r="47" spans="1:21" x14ac:dyDescent="0.25">
      <c r="A47" s="27"/>
      <c r="B47" s="27" t="str">
        <f>IF(Table5[[#This Row],[Source Name]]="","-",Table5[[#This Row],[Source Name]])</f>
        <v>-</v>
      </c>
      <c r="C47" s="27"/>
      <c r="D47" s="27"/>
      <c r="E47" s="27"/>
      <c r="F47" s="27"/>
      <c r="G47" s="27"/>
      <c r="H47" s="27"/>
      <c r="I47" s="27"/>
      <c r="J47" s="27"/>
      <c r="K47" s="27"/>
      <c r="L47" s="27"/>
      <c r="M47" s="27"/>
      <c r="N47" s="27"/>
      <c r="O47" s="27"/>
      <c r="P47" s="27"/>
      <c r="Q47" s="27"/>
      <c r="R47" s="27"/>
      <c r="S47" s="27"/>
      <c r="T47" s="27"/>
      <c r="U47" s="27"/>
    </row>
    <row r="48" spans="1:21" x14ac:dyDescent="0.25">
      <c r="A48" s="27"/>
      <c r="B48" s="27" t="str">
        <f>IF(Table5[[#This Row],[Source Name]]="","-",Table5[[#This Row],[Source Name]])</f>
        <v>-</v>
      </c>
      <c r="C48" s="27"/>
      <c r="D48" s="27"/>
      <c r="E48" s="27"/>
      <c r="F48" s="27"/>
      <c r="G48" s="27"/>
      <c r="H48" s="27"/>
      <c r="I48" s="27"/>
      <c r="J48" s="27"/>
      <c r="K48" s="27"/>
      <c r="L48" s="27"/>
      <c r="M48" s="27"/>
      <c r="N48" s="27"/>
      <c r="O48" s="27"/>
      <c r="P48" s="27"/>
      <c r="Q48" s="27"/>
      <c r="R48" s="27"/>
      <c r="S48" s="27"/>
      <c r="T48" s="27"/>
      <c r="U48" s="27"/>
    </row>
    <row r="49" spans="1:21" x14ac:dyDescent="0.25">
      <c r="A49" s="27"/>
      <c r="B49" s="27" t="str">
        <f>IF(Table5[[#This Row],[Source Name]]="","-",Table5[[#This Row],[Source Name]])</f>
        <v>-</v>
      </c>
      <c r="C49" s="27"/>
      <c r="D49" s="27"/>
      <c r="E49" s="27"/>
      <c r="F49" s="27"/>
      <c r="G49" s="27"/>
      <c r="H49" s="27"/>
      <c r="I49" s="27"/>
      <c r="J49" s="27"/>
      <c r="K49" s="27"/>
      <c r="L49" s="27"/>
      <c r="M49" s="27"/>
      <c r="N49" s="27"/>
      <c r="O49" s="27"/>
      <c r="P49" s="27"/>
      <c r="Q49" s="27"/>
      <c r="R49" s="27"/>
      <c r="S49" s="27"/>
      <c r="T49" s="27"/>
      <c r="U49" s="27"/>
    </row>
    <row r="50" spans="1:21" x14ac:dyDescent="0.25">
      <c r="A50" s="27"/>
      <c r="B50" s="27" t="str">
        <f>IF(Table5[[#This Row],[Source Name]]="","-",Table5[[#This Row],[Source Name]])</f>
        <v>-</v>
      </c>
      <c r="C50" s="27"/>
      <c r="D50" s="27"/>
      <c r="E50" s="27"/>
      <c r="F50" s="27"/>
      <c r="G50" s="27"/>
      <c r="H50" s="27"/>
      <c r="I50" s="27"/>
      <c r="J50" s="27"/>
      <c r="K50" s="27"/>
      <c r="L50" s="27"/>
      <c r="M50" s="27"/>
      <c r="N50" s="27"/>
      <c r="O50" s="27"/>
      <c r="P50" s="27"/>
      <c r="Q50" s="27"/>
      <c r="R50" s="27"/>
      <c r="S50" s="27"/>
      <c r="T50" s="27"/>
      <c r="U50" s="27"/>
    </row>
    <row r="51" spans="1:21" x14ac:dyDescent="0.25">
      <c r="A51" s="27"/>
      <c r="B51" s="27" t="str">
        <f>IF(Table5[[#This Row],[Source Name]]="","-",Table5[[#This Row],[Source Name]])</f>
        <v>-</v>
      </c>
      <c r="C51" s="27"/>
      <c r="D51" s="27"/>
      <c r="E51" s="27"/>
      <c r="F51" s="27"/>
      <c r="G51" s="27"/>
      <c r="H51" s="27"/>
      <c r="I51" s="27"/>
      <c r="J51" s="27"/>
      <c r="K51" s="27"/>
      <c r="L51" s="27"/>
      <c r="M51" s="27"/>
      <c r="N51" s="27"/>
      <c r="O51" s="27"/>
      <c r="P51" s="27"/>
      <c r="Q51" s="27"/>
      <c r="R51" s="27"/>
      <c r="S51" s="27"/>
      <c r="T51" s="27"/>
      <c r="U51" s="27"/>
    </row>
    <row r="52" spans="1:21" x14ac:dyDescent="0.25">
      <c r="A52" s="27"/>
      <c r="B52" s="27" t="str">
        <f>IF(Table5[[#This Row],[Source Name]]="","-",Table5[[#This Row],[Source Name]])</f>
        <v>-</v>
      </c>
      <c r="C52" s="27"/>
      <c r="D52" s="27"/>
      <c r="E52" s="27"/>
      <c r="F52" s="27"/>
      <c r="G52" s="27"/>
      <c r="H52" s="27"/>
      <c r="I52" s="27"/>
      <c r="J52" s="27"/>
      <c r="K52" s="27"/>
      <c r="L52" s="27"/>
      <c r="M52" s="27"/>
      <c r="N52" s="27"/>
      <c r="O52" s="27"/>
      <c r="P52" s="27"/>
      <c r="Q52" s="27"/>
      <c r="R52" s="27"/>
      <c r="S52" s="27"/>
      <c r="T52" s="27"/>
      <c r="U52" s="27"/>
    </row>
    <row r="53" spans="1:21" x14ac:dyDescent="0.25">
      <c r="A53" s="27"/>
      <c r="B53" s="27" t="str">
        <f>IF(Table5[[#This Row],[Source Name]]="","-",Table5[[#This Row],[Source Name]])</f>
        <v>-</v>
      </c>
      <c r="C53" s="27"/>
      <c r="D53" s="27"/>
      <c r="E53" s="27"/>
      <c r="F53" s="27"/>
      <c r="G53" s="27"/>
      <c r="H53" s="27"/>
      <c r="I53" s="27"/>
      <c r="J53" s="27"/>
      <c r="K53" s="27"/>
      <c r="L53" s="27"/>
      <c r="M53" s="27"/>
      <c r="N53" s="27"/>
      <c r="O53" s="27"/>
      <c r="P53" s="27"/>
      <c r="Q53" s="27"/>
      <c r="R53" s="27"/>
      <c r="S53" s="27"/>
      <c r="T53" s="27"/>
      <c r="U53" s="27"/>
    </row>
    <row r="54" spans="1:21" x14ac:dyDescent="0.25">
      <c r="A54" s="27"/>
      <c r="B54" s="27" t="str">
        <f>IF(Table5[[#This Row],[Source Name]]="","-",Table5[[#This Row],[Source Name]])</f>
        <v>-</v>
      </c>
      <c r="C54" s="27"/>
      <c r="D54" s="27"/>
      <c r="E54" s="27"/>
      <c r="F54" s="27"/>
      <c r="G54" s="27"/>
      <c r="H54" s="27"/>
      <c r="I54" s="27"/>
      <c r="J54" s="27"/>
      <c r="K54" s="27"/>
      <c r="L54" s="27"/>
      <c r="M54" s="27"/>
      <c r="N54" s="27"/>
      <c r="O54" s="27"/>
      <c r="P54" s="27"/>
      <c r="Q54" s="27"/>
      <c r="R54" s="27"/>
      <c r="S54" s="27"/>
      <c r="T54" s="27"/>
      <c r="U54" s="27"/>
    </row>
    <row r="55" spans="1:21" x14ac:dyDescent="0.25">
      <c r="A55" s="27"/>
      <c r="B55" s="27" t="str">
        <f>IF(Table5[[#This Row],[Source Name]]="","-",Table5[[#This Row],[Source Name]])</f>
        <v>-</v>
      </c>
      <c r="C55" s="27"/>
      <c r="D55" s="27"/>
      <c r="E55" s="27"/>
      <c r="F55" s="27"/>
      <c r="G55" s="27"/>
      <c r="H55" s="27"/>
      <c r="I55" s="27"/>
      <c r="J55" s="27"/>
      <c r="K55" s="27"/>
      <c r="L55" s="27"/>
      <c r="M55" s="27"/>
      <c r="N55" s="27"/>
      <c r="O55" s="27"/>
      <c r="P55" s="27"/>
      <c r="Q55" s="27"/>
      <c r="R55" s="27"/>
      <c r="S55" s="27"/>
      <c r="T55" s="27"/>
      <c r="U55" s="27"/>
    </row>
    <row r="56" spans="1:21" x14ac:dyDescent="0.25">
      <c r="A56" s="27"/>
      <c r="B56" s="27" t="str">
        <f>IF(Table5[[#This Row],[Source Name]]="","-",Table5[[#This Row],[Source Name]])</f>
        <v>-</v>
      </c>
      <c r="C56" s="27"/>
      <c r="D56" s="27"/>
      <c r="E56" s="27"/>
      <c r="F56" s="27"/>
      <c r="G56" s="27"/>
      <c r="H56" s="27"/>
      <c r="I56" s="27"/>
      <c r="J56" s="27"/>
      <c r="K56" s="27"/>
      <c r="L56" s="27"/>
      <c r="M56" s="27"/>
      <c r="N56" s="27"/>
      <c r="O56" s="27"/>
      <c r="P56" s="27"/>
      <c r="Q56" s="27"/>
      <c r="R56" s="27"/>
      <c r="S56" s="27"/>
      <c r="T56" s="27"/>
      <c r="U56" s="27"/>
    </row>
    <row r="57" spans="1:21" x14ac:dyDescent="0.25">
      <c r="A57" s="27"/>
      <c r="B57" s="27" t="str">
        <f>IF(Table5[[#This Row],[Source Name]]="","-",Table5[[#This Row],[Source Name]])</f>
        <v>-</v>
      </c>
      <c r="C57" s="27"/>
      <c r="D57" s="27"/>
      <c r="E57" s="27"/>
      <c r="F57" s="27"/>
      <c r="G57" s="27"/>
      <c r="H57" s="27"/>
      <c r="I57" s="27"/>
      <c r="J57" s="27"/>
      <c r="K57" s="27"/>
      <c r="L57" s="27"/>
      <c r="M57" s="27"/>
      <c r="N57" s="27"/>
      <c r="O57" s="27"/>
      <c r="P57" s="27"/>
      <c r="Q57" s="27"/>
      <c r="R57" s="27"/>
      <c r="S57" s="27"/>
      <c r="T57" s="27"/>
      <c r="U57" s="27"/>
    </row>
    <row r="58" spans="1:21" x14ac:dyDescent="0.25">
      <c r="A58" s="27"/>
      <c r="B58" s="27" t="str">
        <f>IF(Table5[[#This Row],[Source Name]]="","-",Table5[[#This Row],[Source Name]])</f>
        <v>-</v>
      </c>
      <c r="C58" s="27"/>
      <c r="D58" s="27"/>
      <c r="E58" s="27"/>
      <c r="F58" s="27"/>
      <c r="G58" s="27"/>
      <c r="H58" s="27"/>
      <c r="I58" s="27"/>
      <c r="J58" s="27"/>
      <c r="K58" s="27"/>
      <c r="L58" s="27"/>
      <c r="M58" s="27"/>
      <c r="N58" s="27"/>
      <c r="O58" s="27"/>
      <c r="P58" s="27"/>
      <c r="Q58" s="27"/>
      <c r="R58" s="27"/>
      <c r="S58" s="27"/>
      <c r="T58" s="27"/>
      <c r="U58" s="27"/>
    </row>
    <row r="59" spans="1:21" x14ac:dyDescent="0.25">
      <c r="A59" s="27"/>
      <c r="B59" s="27" t="str">
        <f>IF(Table5[[#This Row],[Source Name]]="","-",Table5[[#This Row],[Source Name]])</f>
        <v>-</v>
      </c>
      <c r="C59" s="27"/>
      <c r="D59" s="27"/>
      <c r="E59" s="27"/>
      <c r="F59" s="27"/>
      <c r="G59" s="27"/>
      <c r="H59" s="27"/>
      <c r="I59" s="27"/>
      <c r="J59" s="27"/>
      <c r="K59" s="27"/>
      <c r="L59" s="27"/>
      <c r="M59" s="27"/>
      <c r="N59" s="27"/>
      <c r="O59" s="27"/>
      <c r="P59" s="27"/>
      <c r="Q59" s="27"/>
      <c r="R59" s="27"/>
      <c r="S59" s="27"/>
      <c r="T59" s="27"/>
      <c r="U59" s="27"/>
    </row>
    <row r="60" spans="1:21" x14ac:dyDescent="0.25">
      <c r="A60" s="27"/>
      <c r="B60" s="27" t="str">
        <f>IF(Table5[[#This Row],[Source Name]]="","-",Table5[[#This Row],[Source Name]])</f>
        <v>-</v>
      </c>
      <c r="C60" s="27"/>
      <c r="D60" s="27"/>
      <c r="E60" s="27"/>
      <c r="F60" s="27"/>
      <c r="G60" s="27"/>
      <c r="H60" s="27"/>
      <c r="I60" s="27"/>
      <c r="J60" s="27"/>
      <c r="K60" s="27"/>
      <c r="L60" s="27"/>
      <c r="M60" s="27"/>
      <c r="N60" s="27"/>
      <c r="O60" s="27"/>
      <c r="P60" s="27"/>
      <c r="Q60" s="27"/>
      <c r="R60" s="27"/>
      <c r="S60" s="27"/>
      <c r="T60" s="27"/>
      <c r="U60" s="27"/>
    </row>
    <row r="61" spans="1:21" x14ac:dyDescent="0.25">
      <c r="A61" s="27"/>
      <c r="B61" s="27" t="str">
        <f>IF(Table5[[#This Row],[Source Name]]="","-",Table5[[#This Row],[Source Name]])</f>
        <v>-</v>
      </c>
      <c r="C61" s="27"/>
      <c r="D61" s="27"/>
      <c r="E61" s="27"/>
      <c r="F61" s="27"/>
      <c r="G61" s="27"/>
      <c r="H61" s="27"/>
      <c r="I61" s="27"/>
      <c r="J61" s="27"/>
      <c r="K61" s="27"/>
      <c r="L61" s="27"/>
      <c r="M61" s="27"/>
      <c r="N61" s="27"/>
      <c r="O61" s="27"/>
      <c r="P61" s="27"/>
      <c r="Q61" s="27"/>
      <c r="R61" s="27"/>
      <c r="S61" s="27"/>
      <c r="T61" s="27"/>
      <c r="U61" s="27"/>
    </row>
    <row r="62" spans="1:21" x14ac:dyDescent="0.25">
      <c r="A62" s="27"/>
      <c r="B62" s="27" t="str">
        <f>IF(Table5[[#This Row],[Source Name]]="","-",Table5[[#This Row],[Source Name]])</f>
        <v>-</v>
      </c>
      <c r="C62" s="27"/>
      <c r="D62" s="27"/>
      <c r="E62" s="27"/>
      <c r="F62" s="27"/>
      <c r="G62" s="27"/>
      <c r="H62" s="27"/>
      <c r="I62" s="27"/>
      <c r="J62" s="27"/>
      <c r="K62" s="27"/>
      <c r="L62" s="27"/>
      <c r="M62" s="27"/>
      <c r="N62" s="27"/>
      <c r="O62" s="27"/>
      <c r="P62" s="27"/>
      <c r="Q62" s="27"/>
      <c r="R62" s="27"/>
      <c r="S62" s="27"/>
      <c r="T62" s="27"/>
      <c r="U62" s="27"/>
    </row>
    <row r="63" spans="1:21" x14ac:dyDescent="0.25">
      <c r="A63" s="27"/>
      <c r="B63" s="27" t="str">
        <f>IF(Table5[[#This Row],[Source Name]]="","-",Table5[[#This Row],[Source Name]])</f>
        <v>-</v>
      </c>
      <c r="C63" s="27"/>
      <c r="D63" s="27"/>
      <c r="E63" s="27"/>
      <c r="F63" s="27"/>
      <c r="G63" s="27"/>
      <c r="H63" s="27"/>
      <c r="I63" s="27"/>
      <c r="J63" s="27"/>
      <c r="K63" s="27"/>
      <c r="L63" s="27"/>
      <c r="M63" s="27"/>
      <c r="N63" s="27"/>
      <c r="O63" s="27"/>
      <c r="P63" s="27"/>
      <c r="Q63" s="27"/>
      <c r="R63" s="27"/>
      <c r="S63" s="27"/>
      <c r="T63" s="27"/>
      <c r="U63" s="27"/>
    </row>
    <row r="64" spans="1:21" x14ac:dyDescent="0.25">
      <c r="A64" s="27"/>
      <c r="B64" s="27" t="str">
        <f>IF(Table5[[#This Row],[Source Name]]="","-",Table5[[#This Row],[Source Name]])</f>
        <v>-</v>
      </c>
      <c r="C64" s="27"/>
      <c r="D64" s="27"/>
      <c r="E64" s="27"/>
      <c r="F64" s="27"/>
      <c r="G64" s="27"/>
      <c r="H64" s="27"/>
      <c r="I64" s="27"/>
      <c r="J64" s="27"/>
      <c r="K64" s="27"/>
      <c r="L64" s="27"/>
      <c r="M64" s="27"/>
      <c r="N64" s="27"/>
      <c r="O64" s="27"/>
      <c r="P64" s="27"/>
      <c r="Q64" s="27"/>
      <c r="R64" s="27"/>
      <c r="S64" s="27"/>
      <c r="T64" s="27"/>
      <c r="U64" s="27"/>
    </row>
    <row r="65" spans="1:21" x14ac:dyDescent="0.25">
      <c r="A65" s="27"/>
      <c r="B65" s="27" t="str">
        <f>IF(Table5[[#This Row],[Source Name]]="","-",Table5[[#This Row],[Source Name]])</f>
        <v>-</v>
      </c>
      <c r="C65" s="27"/>
      <c r="D65" s="27"/>
      <c r="E65" s="27"/>
      <c r="F65" s="27"/>
      <c r="G65" s="27"/>
      <c r="H65" s="27"/>
      <c r="I65" s="27"/>
      <c r="J65" s="27"/>
      <c r="K65" s="27"/>
      <c r="L65" s="27"/>
      <c r="M65" s="27"/>
      <c r="N65" s="27"/>
      <c r="O65" s="27"/>
      <c r="P65" s="27"/>
      <c r="Q65" s="27"/>
      <c r="R65" s="27"/>
      <c r="S65" s="27"/>
      <c r="T65" s="27"/>
      <c r="U65" s="27"/>
    </row>
    <row r="66" spans="1:21" x14ac:dyDescent="0.25">
      <c r="A66" s="27"/>
      <c r="B66" s="27" t="str">
        <f>IF(Table5[[#This Row],[Source Name]]="","-",Table5[[#This Row],[Source Name]])</f>
        <v>-</v>
      </c>
      <c r="C66" s="27"/>
      <c r="D66" s="27"/>
      <c r="E66" s="27"/>
      <c r="F66" s="27"/>
      <c r="G66" s="27"/>
      <c r="H66" s="27"/>
      <c r="I66" s="27"/>
      <c r="J66" s="27"/>
      <c r="K66" s="27"/>
      <c r="L66" s="27"/>
      <c r="M66" s="27"/>
      <c r="N66" s="27"/>
      <c r="O66" s="27"/>
      <c r="P66" s="27"/>
      <c r="Q66" s="27"/>
      <c r="R66" s="27"/>
      <c r="S66" s="27"/>
      <c r="T66" s="27"/>
      <c r="U66" s="27"/>
    </row>
    <row r="67" spans="1:21" x14ac:dyDescent="0.25">
      <c r="A67" s="27"/>
      <c r="B67" s="27" t="str">
        <f>IF(Table5[[#This Row],[Source Name]]="","-",Table5[[#This Row],[Source Name]])</f>
        <v>-</v>
      </c>
      <c r="C67" s="27"/>
      <c r="D67" s="27"/>
      <c r="E67" s="27"/>
      <c r="F67" s="27"/>
      <c r="G67" s="27"/>
      <c r="H67" s="27"/>
      <c r="I67" s="27"/>
      <c r="J67" s="27"/>
      <c r="K67" s="27"/>
      <c r="L67" s="27"/>
      <c r="M67" s="27"/>
      <c r="N67" s="27"/>
      <c r="O67" s="27"/>
      <c r="P67" s="27"/>
      <c r="Q67" s="27"/>
      <c r="R67" s="27"/>
      <c r="S67" s="27"/>
      <c r="T67" s="27"/>
      <c r="U67" s="27"/>
    </row>
    <row r="68" spans="1:21" x14ac:dyDescent="0.25">
      <c r="A68" s="27"/>
      <c r="B68" s="27" t="str">
        <f>IF(Table5[[#This Row],[Source Name]]="","-",Table5[[#This Row],[Source Name]])</f>
        <v>-</v>
      </c>
      <c r="C68" s="27"/>
      <c r="D68" s="27"/>
      <c r="E68" s="27"/>
      <c r="F68" s="27"/>
      <c r="G68" s="27"/>
      <c r="H68" s="27"/>
      <c r="I68" s="27"/>
      <c r="J68" s="27"/>
      <c r="K68" s="27"/>
      <c r="L68" s="27"/>
      <c r="M68" s="27"/>
      <c r="N68" s="27"/>
      <c r="O68" s="27"/>
      <c r="P68" s="27"/>
      <c r="Q68" s="27"/>
      <c r="R68" s="27"/>
      <c r="S68" s="27"/>
      <c r="T68" s="27"/>
      <c r="U68" s="27"/>
    </row>
    <row r="69" spans="1:21" x14ac:dyDescent="0.25">
      <c r="A69" s="27"/>
      <c r="B69" s="27" t="str">
        <f>IF(Table5[[#This Row],[Source Name]]="","-",Table5[[#This Row],[Source Name]])</f>
        <v>-</v>
      </c>
      <c r="C69" s="27"/>
      <c r="D69" s="27"/>
      <c r="E69" s="27"/>
      <c r="F69" s="27"/>
      <c r="G69" s="27"/>
      <c r="H69" s="27"/>
      <c r="I69" s="27"/>
      <c r="J69" s="27"/>
      <c r="K69" s="27"/>
      <c r="L69" s="27"/>
      <c r="M69" s="27"/>
      <c r="N69" s="27"/>
      <c r="O69" s="27"/>
      <c r="P69" s="27"/>
      <c r="Q69" s="27"/>
      <c r="R69" s="27"/>
      <c r="S69" s="27"/>
      <c r="T69" s="27"/>
      <c r="U69" s="27"/>
    </row>
    <row r="70" spans="1:21" x14ac:dyDescent="0.25">
      <c r="A70" s="27"/>
      <c r="B70" s="27" t="str">
        <f>IF(Table5[[#This Row],[Source Name]]="","-",Table5[[#This Row],[Source Name]])</f>
        <v>-</v>
      </c>
      <c r="C70" s="27"/>
      <c r="D70" s="27"/>
      <c r="E70" s="27"/>
      <c r="F70" s="27"/>
      <c r="G70" s="27"/>
      <c r="H70" s="27"/>
      <c r="I70" s="27"/>
      <c r="J70" s="27"/>
      <c r="K70" s="27"/>
      <c r="L70" s="27"/>
      <c r="M70" s="27"/>
      <c r="N70" s="27"/>
      <c r="O70" s="27"/>
      <c r="P70" s="27"/>
      <c r="Q70" s="27"/>
      <c r="R70" s="27"/>
      <c r="S70" s="27"/>
      <c r="T70" s="27"/>
      <c r="U70" s="27"/>
    </row>
    <row r="71" spans="1:21" x14ac:dyDescent="0.25">
      <c r="A71" s="27"/>
      <c r="B71" s="27" t="str">
        <f>IF(Table5[[#This Row],[Source Name]]="","-",Table5[[#This Row],[Source Name]])</f>
        <v>-</v>
      </c>
      <c r="C71" s="27"/>
      <c r="D71" s="27"/>
      <c r="E71" s="27"/>
      <c r="F71" s="27"/>
      <c r="G71" s="27"/>
      <c r="H71" s="27"/>
      <c r="I71" s="27"/>
      <c r="J71" s="27"/>
      <c r="K71" s="27"/>
      <c r="L71" s="27"/>
      <c r="M71" s="27"/>
      <c r="N71" s="27"/>
      <c r="O71" s="27"/>
      <c r="P71" s="27"/>
      <c r="Q71" s="27"/>
      <c r="R71" s="27"/>
      <c r="S71" s="27"/>
      <c r="T71" s="27"/>
      <c r="U71" s="27"/>
    </row>
    <row r="72" spans="1:21" x14ac:dyDescent="0.25">
      <c r="A72" s="27"/>
      <c r="B72" s="27" t="str">
        <f>IF(Table5[[#This Row],[Source Name]]="","-",Table5[[#This Row],[Source Name]])</f>
        <v>-</v>
      </c>
      <c r="C72" s="27"/>
      <c r="D72" s="27"/>
      <c r="E72" s="27"/>
      <c r="F72" s="27"/>
      <c r="G72" s="27"/>
      <c r="H72" s="27"/>
      <c r="I72" s="27"/>
      <c r="J72" s="27"/>
      <c r="K72" s="27"/>
      <c r="L72" s="27"/>
      <c r="M72" s="27"/>
      <c r="N72" s="27"/>
      <c r="O72" s="27"/>
      <c r="P72" s="27"/>
      <c r="Q72" s="27"/>
      <c r="R72" s="27"/>
      <c r="S72" s="27"/>
      <c r="T72" s="27"/>
      <c r="U72" s="27"/>
    </row>
    <row r="73" spans="1:21" x14ac:dyDescent="0.25">
      <c r="A73" s="27"/>
      <c r="B73" s="27" t="str">
        <f>IF(Table5[[#This Row],[Source Name]]="","-",Table5[[#This Row],[Source Name]])</f>
        <v>-</v>
      </c>
      <c r="C73" s="27"/>
      <c r="D73" s="27"/>
      <c r="E73" s="27"/>
      <c r="F73" s="27"/>
      <c r="G73" s="27"/>
      <c r="H73" s="27"/>
      <c r="I73" s="27"/>
      <c r="J73" s="27"/>
      <c r="K73" s="27"/>
      <c r="L73" s="27"/>
      <c r="M73" s="27"/>
      <c r="N73" s="27"/>
      <c r="O73" s="27"/>
      <c r="P73" s="27"/>
      <c r="Q73" s="27"/>
      <c r="R73" s="27"/>
      <c r="S73" s="27"/>
      <c r="T73" s="27"/>
      <c r="U73" s="27"/>
    </row>
    <row r="74" spans="1:21" x14ac:dyDescent="0.25">
      <c r="A74" s="27"/>
      <c r="B74" s="27" t="str">
        <f>IF(Table5[[#This Row],[Source Name]]="","-",Table5[[#This Row],[Source Name]])</f>
        <v>-</v>
      </c>
      <c r="C74" s="27"/>
      <c r="D74" s="27"/>
      <c r="E74" s="27"/>
      <c r="F74" s="27"/>
      <c r="G74" s="27"/>
      <c r="H74" s="27"/>
      <c r="I74" s="27"/>
      <c r="J74" s="27"/>
      <c r="K74" s="27"/>
      <c r="L74" s="27"/>
      <c r="M74" s="27"/>
      <c r="N74" s="27"/>
      <c r="O74" s="27"/>
      <c r="P74" s="27"/>
      <c r="Q74" s="27"/>
      <c r="R74" s="27"/>
      <c r="S74" s="27"/>
      <c r="T74" s="27"/>
      <c r="U74" s="27"/>
    </row>
    <row r="75" spans="1:21" x14ac:dyDescent="0.25">
      <c r="A75" s="27"/>
      <c r="B75" s="27" t="str">
        <f>IF(Table5[[#This Row],[Source Name]]="","-",Table5[[#This Row],[Source Name]])</f>
        <v>-</v>
      </c>
      <c r="C75" s="27"/>
      <c r="D75" s="27"/>
      <c r="E75" s="27"/>
      <c r="F75" s="27"/>
      <c r="G75" s="27"/>
      <c r="H75" s="27"/>
      <c r="I75" s="27"/>
      <c r="J75" s="27"/>
      <c r="K75" s="27"/>
      <c r="L75" s="27"/>
      <c r="M75" s="27"/>
      <c r="N75" s="27"/>
      <c r="O75" s="27"/>
      <c r="P75" s="27"/>
      <c r="Q75" s="27"/>
      <c r="R75" s="27"/>
      <c r="S75" s="27"/>
      <c r="T75" s="27"/>
      <c r="U75" s="27"/>
    </row>
    <row r="76" spans="1:21" x14ac:dyDescent="0.25">
      <c r="A76" s="27"/>
      <c r="B76" s="27" t="str">
        <f>IF(Table5[[#This Row],[Source Name]]="","-",Table5[[#This Row],[Source Name]])</f>
        <v>-</v>
      </c>
      <c r="C76" s="27"/>
      <c r="D76" s="27"/>
      <c r="E76" s="27"/>
      <c r="F76" s="27"/>
      <c r="G76" s="27"/>
      <c r="H76" s="27"/>
      <c r="I76" s="27"/>
      <c r="J76" s="27"/>
      <c r="K76" s="27"/>
      <c r="L76" s="27"/>
      <c r="M76" s="27"/>
      <c r="N76" s="27"/>
      <c r="O76" s="27"/>
      <c r="P76" s="27"/>
      <c r="Q76" s="27"/>
      <c r="R76" s="27"/>
      <c r="S76" s="27"/>
      <c r="T76" s="27"/>
      <c r="U76" s="27"/>
    </row>
    <row r="77" spans="1:21" x14ac:dyDescent="0.25">
      <c r="A77" s="27"/>
      <c r="B77" s="27" t="str">
        <f>IF(Table5[[#This Row],[Source Name]]="","-",Table5[[#This Row],[Source Name]])</f>
        <v>-</v>
      </c>
      <c r="C77" s="27"/>
      <c r="D77" s="27"/>
      <c r="E77" s="27"/>
      <c r="F77" s="27"/>
      <c r="G77" s="27"/>
      <c r="H77" s="27"/>
      <c r="I77" s="27"/>
      <c r="J77" s="27"/>
      <c r="K77" s="27"/>
      <c r="L77" s="27"/>
      <c r="M77" s="27"/>
      <c r="N77" s="27"/>
      <c r="O77" s="27"/>
      <c r="P77" s="27"/>
      <c r="Q77" s="27"/>
      <c r="R77" s="27"/>
      <c r="S77" s="27"/>
      <c r="T77" s="27"/>
      <c r="U77" s="27"/>
    </row>
    <row r="78" spans="1:21" x14ac:dyDescent="0.25">
      <c r="A78" s="27"/>
      <c r="B78" s="27" t="str">
        <f>IF(Table5[[#This Row],[Source Name]]="","-",Table5[[#This Row],[Source Name]])</f>
        <v>-</v>
      </c>
      <c r="C78" s="27"/>
      <c r="D78" s="27"/>
      <c r="E78" s="27"/>
      <c r="F78" s="27"/>
      <c r="G78" s="27"/>
      <c r="H78" s="27"/>
      <c r="I78" s="27"/>
      <c r="J78" s="27"/>
      <c r="K78" s="27"/>
      <c r="L78" s="27"/>
      <c r="M78" s="27"/>
      <c r="N78" s="27"/>
      <c r="O78" s="27"/>
      <c r="P78" s="27"/>
      <c r="Q78" s="27"/>
      <c r="R78" s="27"/>
      <c r="S78" s="27"/>
      <c r="T78" s="27"/>
      <c r="U78" s="27"/>
    </row>
    <row r="79" spans="1:21" x14ac:dyDescent="0.25">
      <c r="A79" s="27"/>
      <c r="B79" s="27" t="str">
        <f>IF(Table5[[#This Row],[Source Name]]="","-",Table5[[#This Row],[Source Name]])</f>
        <v>-</v>
      </c>
      <c r="C79" s="27"/>
      <c r="D79" s="27"/>
      <c r="E79" s="27"/>
      <c r="F79" s="27"/>
      <c r="G79" s="27"/>
      <c r="H79" s="27"/>
      <c r="I79" s="27"/>
      <c r="J79" s="27"/>
      <c r="K79" s="27"/>
      <c r="L79" s="27"/>
      <c r="M79" s="27"/>
      <c r="N79" s="27"/>
      <c r="O79" s="27"/>
      <c r="P79" s="27"/>
      <c r="Q79" s="27"/>
      <c r="R79" s="27"/>
      <c r="S79" s="27"/>
      <c r="T79" s="27"/>
      <c r="U79" s="27"/>
    </row>
    <row r="80" spans="1:21" x14ac:dyDescent="0.25">
      <c r="A80" s="27"/>
      <c r="B80" s="27" t="str">
        <f>IF(Table5[[#This Row],[Source Name]]="","-",Table5[[#This Row],[Source Name]])</f>
        <v>-</v>
      </c>
      <c r="C80" s="27"/>
      <c r="D80" s="27"/>
      <c r="E80" s="27"/>
      <c r="F80" s="27"/>
      <c r="G80" s="27"/>
      <c r="H80" s="27"/>
      <c r="I80" s="27"/>
      <c r="J80" s="27"/>
      <c r="K80" s="27"/>
      <c r="L80" s="27"/>
      <c r="M80" s="27"/>
      <c r="N80" s="27"/>
      <c r="O80" s="27"/>
      <c r="P80" s="27"/>
      <c r="Q80" s="27"/>
      <c r="R80" s="27"/>
      <c r="S80" s="27"/>
      <c r="T80" s="27"/>
      <c r="U80" s="27"/>
    </row>
    <row r="81" spans="1:21" x14ac:dyDescent="0.25">
      <c r="A81" s="27"/>
      <c r="B81" s="27" t="str">
        <f>IF(Table5[[#This Row],[Source Name]]="","-",Table5[[#This Row],[Source Name]])</f>
        <v>-</v>
      </c>
      <c r="C81" s="27"/>
      <c r="D81" s="27"/>
      <c r="E81" s="27"/>
      <c r="F81" s="27"/>
      <c r="G81" s="27"/>
      <c r="H81" s="27"/>
      <c r="I81" s="27"/>
      <c r="J81" s="27"/>
      <c r="K81" s="27"/>
      <c r="L81" s="27"/>
      <c r="M81" s="27"/>
      <c r="N81" s="27"/>
      <c r="O81" s="27"/>
      <c r="P81" s="27"/>
      <c r="Q81" s="27"/>
      <c r="R81" s="27"/>
      <c r="S81" s="27"/>
      <c r="T81" s="27"/>
      <c r="U81" s="27"/>
    </row>
    <row r="82" spans="1:21" x14ac:dyDescent="0.25">
      <c r="A82" s="27"/>
      <c r="B82" s="27" t="str">
        <f>IF(Table5[[#This Row],[Source Name]]="","-",Table5[[#This Row],[Source Name]])</f>
        <v>-</v>
      </c>
      <c r="C82" s="27"/>
      <c r="D82" s="27"/>
      <c r="E82" s="27"/>
      <c r="F82" s="27"/>
      <c r="G82" s="27"/>
      <c r="H82" s="27"/>
      <c r="I82" s="27"/>
      <c r="J82" s="27"/>
      <c r="K82" s="27"/>
      <c r="L82" s="27"/>
      <c r="M82" s="27"/>
      <c r="N82" s="27"/>
      <c r="O82" s="27"/>
      <c r="P82" s="27"/>
      <c r="Q82" s="27"/>
      <c r="R82" s="27"/>
      <c r="S82" s="27"/>
      <c r="T82" s="27"/>
      <c r="U82" s="27"/>
    </row>
    <row r="83" spans="1:21" x14ac:dyDescent="0.25">
      <c r="A83" s="27"/>
      <c r="B83" s="27" t="str">
        <f>IF(Table5[[#This Row],[Source Name]]="","-",Table5[[#This Row],[Source Name]])</f>
        <v>-</v>
      </c>
      <c r="C83" s="27"/>
      <c r="D83" s="27"/>
      <c r="E83" s="27"/>
      <c r="F83" s="27"/>
      <c r="G83" s="27"/>
      <c r="H83" s="27"/>
      <c r="I83" s="27"/>
      <c r="J83" s="27"/>
      <c r="K83" s="27"/>
      <c r="L83" s="27"/>
      <c r="M83" s="27"/>
      <c r="N83" s="27"/>
      <c r="O83" s="27"/>
      <c r="P83" s="27"/>
      <c r="Q83" s="27"/>
      <c r="R83" s="27"/>
      <c r="S83" s="27"/>
      <c r="T83" s="27"/>
      <c r="U83" s="27"/>
    </row>
    <row r="84" spans="1:21" x14ac:dyDescent="0.25">
      <c r="A84" s="27"/>
      <c r="B84" s="27" t="str">
        <f>IF(Table5[[#This Row],[Source Name]]="","-",Table5[[#This Row],[Source Name]])</f>
        <v>-</v>
      </c>
      <c r="C84" s="27"/>
      <c r="D84" s="27"/>
      <c r="E84" s="27"/>
      <c r="F84" s="27"/>
      <c r="G84" s="27"/>
      <c r="H84" s="27"/>
      <c r="I84" s="27"/>
      <c r="J84" s="27"/>
      <c r="K84" s="27"/>
      <c r="L84" s="27"/>
      <c r="M84" s="27"/>
      <c r="N84" s="27"/>
      <c r="O84" s="27"/>
      <c r="P84" s="27"/>
      <c r="Q84" s="27"/>
      <c r="R84" s="27"/>
      <c r="S84" s="27"/>
      <c r="T84" s="27"/>
      <c r="U84" s="27"/>
    </row>
    <row r="85" spans="1:21" x14ac:dyDescent="0.25">
      <c r="A85" s="27"/>
      <c r="B85" s="27" t="str">
        <f>IF(Table5[[#This Row],[Source Name]]="","-",Table5[[#This Row],[Source Name]])</f>
        <v>-</v>
      </c>
      <c r="C85" s="27"/>
      <c r="D85" s="27"/>
      <c r="E85" s="27"/>
      <c r="F85" s="27"/>
      <c r="G85" s="27"/>
      <c r="H85" s="27"/>
      <c r="I85" s="27"/>
      <c r="J85" s="27"/>
      <c r="K85" s="27"/>
      <c r="L85" s="27"/>
      <c r="M85" s="27"/>
      <c r="N85" s="27"/>
      <c r="O85" s="27"/>
      <c r="P85" s="27"/>
      <c r="Q85" s="27"/>
      <c r="R85" s="27"/>
      <c r="S85" s="27"/>
      <c r="T85" s="27"/>
      <c r="U85" s="27"/>
    </row>
    <row r="86" spans="1:21" x14ac:dyDescent="0.25">
      <c r="A86" s="27"/>
      <c r="B86" s="27" t="str">
        <f>IF(Table5[[#This Row],[Source Name]]="","-",Table5[[#This Row],[Source Name]])</f>
        <v>-</v>
      </c>
      <c r="C86" s="27"/>
      <c r="D86" s="27"/>
      <c r="E86" s="27"/>
      <c r="F86" s="27"/>
      <c r="G86" s="27"/>
      <c r="H86" s="27"/>
      <c r="I86" s="27"/>
      <c r="J86" s="27"/>
      <c r="K86" s="27"/>
      <c r="L86" s="27"/>
      <c r="M86" s="27"/>
      <c r="N86" s="27"/>
      <c r="O86" s="27"/>
      <c r="P86" s="27"/>
      <c r="Q86" s="27"/>
      <c r="R86" s="27"/>
      <c r="S86" s="27"/>
      <c r="T86" s="27"/>
      <c r="U86" s="27"/>
    </row>
    <row r="87" spans="1:21" x14ac:dyDescent="0.25">
      <c r="A87" s="27"/>
      <c r="B87" s="27" t="str">
        <f>IF(Table5[[#This Row],[Source Name]]="","-",Table5[[#This Row],[Source Name]])</f>
        <v>-</v>
      </c>
      <c r="C87" s="27"/>
      <c r="D87" s="27"/>
      <c r="E87" s="27"/>
      <c r="F87" s="27"/>
      <c r="G87" s="27"/>
      <c r="H87" s="27"/>
      <c r="I87" s="27"/>
      <c r="J87" s="27"/>
      <c r="K87" s="27"/>
      <c r="L87" s="27"/>
      <c r="M87" s="27"/>
      <c r="N87" s="27"/>
      <c r="O87" s="27"/>
      <c r="P87" s="27"/>
      <c r="Q87" s="27"/>
      <c r="R87" s="27"/>
      <c r="S87" s="27"/>
      <c r="T87" s="27"/>
      <c r="U87" s="27"/>
    </row>
    <row r="88" spans="1:21" x14ac:dyDescent="0.25">
      <c r="A88" s="27"/>
      <c r="B88" s="27" t="str">
        <f>IF(Table5[[#This Row],[Source Name]]="","-",Table5[[#This Row],[Source Name]])</f>
        <v>-</v>
      </c>
      <c r="C88" s="27"/>
      <c r="D88" s="27"/>
      <c r="E88" s="27"/>
      <c r="F88" s="27"/>
      <c r="G88" s="27"/>
      <c r="H88" s="27"/>
      <c r="I88" s="27"/>
      <c r="J88" s="27"/>
      <c r="K88" s="27"/>
      <c r="L88" s="27"/>
      <c r="M88" s="27"/>
      <c r="N88" s="27"/>
      <c r="O88" s="27"/>
      <c r="P88" s="27"/>
      <c r="Q88" s="27"/>
      <c r="R88" s="27"/>
      <c r="S88" s="27"/>
      <c r="T88" s="27"/>
      <c r="U88" s="27"/>
    </row>
    <row r="89" spans="1:21" x14ac:dyDescent="0.25">
      <c r="A89" s="27"/>
      <c r="B89" s="27" t="str">
        <f>IF(Table5[[#This Row],[Source Name]]="","-",Table5[[#This Row],[Source Name]])</f>
        <v>-</v>
      </c>
      <c r="C89" s="27"/>
      <c r="D89" s="27"/>
      <c r="E89" s="27"/>
      <c r="F89" s="27"/>
      <c r="G89" s="27"/>
      <c r="H89" s="27"/>
      <c r="I89" s="27"/>
      <c r="J89" s="27"/>
      <c r="K89" s="27"/>
      <c r="L89" s="27"/>
      <c r="M89" s="27"/>
      <c r="N89" s="27"/>
      <c r="O89" s="27"/>
      <c r="P89" s="27"/>
      <c r="Q89" s="27"/>
      <c r="R89" s="27"/>
      <c r="S89" s="27"/>
      <c r="T89" s="27"/>
      <c r="U89" s="27"/>
    </row>
    <row r="90" spans="1:21" x14ac:dyDescent="0.25">
      <c r="A90" s="27"/>
      <c r="B90" s="27" t="str">
        <f>IF(Table5[[#This Row],[Source Name]]="","-",Table5[[#This Row],[Source Name]])</f>
        <v>-</v>
      </c>
      <c r="C90" s="27"/>
      <c r="D90" s="27"/>
      <c r="E90" s="27"/>
      <c r="F90" s="27"/>
      <c r="G90" s="27"/>
      <c r="H90" s="27"/>
      <c r="I90" s="27"/>
      <c r="J90" s="27"/>
      <c r="K90" s="27"/>
      <c r="L90" s="27"/>
      <c r="M90" s="27"/>
      <c r="N90" s="27"/>
      <c r="O90" s="27"/>
      <c r="P90" s="27"/>
      <c r="Q90" s="27"/>
      <c r="R90" s="27"/>
      <c r="S90" s="27"/>
      <c r="T90" s="27"/>
      <c r="U90" s="27"/>
    </row>
    <row r="91" spans="1:21" x14ac:dyDescent="0.25">
      <c r="A91" s="27"/>
      <c r="B91" s="27" t="str">
        <f>IF(Table5[[#This Row],[Source Name]]="","-",Table5[[#This Row],[Source Name]])</f>
        <v>-</v>
      </c>
      <c r="C91" s="27"/>
      <c r="D91" s="27"/>
      <c r="E91" s="27"/>
      <c r="F91" s="27"/>
      <c r="G91" s="27"/>
      <c r="H91" s="27"/>
      <c r="I91" s="27"/>
      <c r="J91" s="27"/>
      <c r="K91" s="27"/>
      <c r="L91" s="27"/>
      <c r="M91" s="27"/>
      <c r="N91" s="27"/>
      <c r="O91" s="27"/>
      <c r="P91" s="27"/>
      <c r="Q91" s="27"/>
      <c r="R91" s="27"/>
      <c r="S91" s="27"/>
      <c r="T91" s="27"/>
      <c r="U91" s="27"/>
    </row>
    <row r="92" spans="1:21" x14ac:dyDescent="0.25">
      <c r="A92" s="27"/>
      <c r="B92" s="27" t="str">
        <f>IF(Table5[[#This Row],[Source Name]]="","-",Table5[[#This Row],[Source Name]])</f>
        <v>-</v>
      </c>
      <c r="C92" s="27"/>
      <c r="D92" s="27"/>
      <c r="E92" s="27"/>
      <c r="F92" s="27"/>
      <c r="G92" s="27"/>
      <c r="H92" s="27"/>
      <c r="I92" s="27"/>
      <c r="J92" s="27"/>
      <c r="K92" s="27"/>
      <c r="L92" s="27"/>
      <c r="M92" s="27"/>
      <c r="N92" s="27"/>
      <c r="O92" s="27"/>
      <c r="P92" s="27"/>
      <c r="Q92" s="27"/>
      <c r="R92" s="27"/>
      <c r="S92" s="27"/>
      <c r="T92" s="27"/>
      <c r="U92" s="27"/>
    </row>
    <row r="93" spans="1:21" x14ac:dyDescent="0.25">
      <c r="A93" s="27"/>
      <c r="B93" s="27" t="str">
        <f>IF(Table5[[#This Row],[Source Name]]="","-",Table5[[#This Row],[Source Name]])</f>
        <v>-</v>
      </c>
      <c r="C93" s="27"/>
      <c r="D93" s="27"/>
      <c r="E93" s="27"/>
      <c r="F93" s="27"/>
      <c r="G93" s="27"/>
      <c r="H93" s="27"/>
      <c r="I93" s="27"/>
      <c r="J93" s="27"/>
      <c r="K93" s="27"/>
      <c r="L93" s="27"/>
      <c r="M93" s="27"/>
      <c r="N93" s="27"/>
      <c r="O93" s="27"/>
      <c r="P93" s="27"/>
      <c r="Q93" s="27"/>
      <c r="R93" s="27"/>
      <c r="S93" s="27"/>
      <c r="T93" s="27"/>
      <c r="U93" s="27"/>
    </row>
    <row r="94" spans="1:21" x14ac:dyDescent="0.25">
      <c r="A94" s="27"/>
      <c r="B94" s="27" t="str">
        <f>IF(Table5[[#This Row],[Source Name]]="","-",Table5[[#This Row],[Source Name]])</f>
        <v>-</v>
      </c>
      <c r="C94" s="27"/>
      <c r="D94" s="27"/>
      <c r="E94" s="27"/>
      <c r="F94" s="27"/>
      <c r="G94" s="27"/>
      <c r="H94" s="27"/>
      <c r="I94" s="27"/>
      <c r="J94" s="27"/>
      <c r="K94" s="27"/>
      <c r="L94" s="27"/>
      <c r="M94" s="27"/>
      <c r="N94" s="27"/>
      <c r="O94" s="27"/>
      <c r="P94" s="27"/>
      <c r="Q94" s="27"/>
      <c r="R94" s="27"/>
      <c r="S94" s="27"/>
      <c r="T94" s="27"/>
      <c r="U94" s="27"/>
    </row>
    <row r="95" spans="1:21" x14ac:dyDescent="0.25">
      <c r="A95" s="27"/>
      <c r="B95" s="27" t="str">
        <f>IF(Table5[[#This Row],[Source Name]]="","-",Table5[[#This Row],[Source Name]])</f>
        <v>-</v>
      </c>
      <c r="C95" s="27"/>
      <c r="D95" s="27"/>
      <c r="E95" s="27"/>
      <c r="F95" s="27"/>
      <c r="G95" s="27"/>
      <c r="H95" s="27"/>
      <c r="I95" s="27"/>
      <c r="J95" s="27"/>
      <c r="K95" s="27"/>
      <c r="L95" s="27"/>
      <c r="M95" s="27"/>
      <c r="N95" s="27"/>
      <c r="O95" s="27"/>
      <c r="P95" s="27"/>
      <c r="Q95" s="27"/>
      <c r="R95" s="27"/>
      <c r="S95" s="27"/>
      <c r="T95" s="27"/>
      <c r="U95" s="27"/>
    </row>
    <row r="96" spans="1:21" x14ac:dyDescent="0.25">
      <c r="A96" s="27"/>
      <c r="B96" s="27" t="str">
        <f>IF(Table5[[#This Row],[Source Name]]="","-",Table5[[#This Row],[Source Name]])</f>
        <v>-</v>
      </c>
      <c r="C96" s="27"/>
      <c r="D96" s="27"/>
      <c r="E96" s="27"/>
      <c r="F96" s="27"/>
      <c r="G96" s="27"/>
      <c r="H96" s="27"/>
      <c r="I96" s="27"/>
      <c r="J96" s="27"/>
      <c r="K96" s="27"/>
      <c r="L96" s="27"/>
      <c r="M96" s="27"/>
      <c r="N96" s="27"/>
      <c r="O96" s="27"/>
      <c r="P96" s="27"/>
      <c r="Q96" s="27"/>
      <c r="R96" s="27"/>
      <c r="S96" s="27"/>
      <c r="T96" s="27"/>
      <c r="U96" s="27"/>
    </row>
    <row r="97" spans="1:22" x14ac:dyDescent="0.25">
      <c r="A97" s="27"/>
      <c r="B97" s="27" t="str">
        <f>IF(Table5[[#This Row],[Source Name]]="","-",Table5[[#This Row],[Source Name]])</f>
        <v>-</v>
      </c>
      <c r="C97" s="27"/>
      <c r="D97" s="27"/>
      <c r="E97" s="27"/>
      <c r="F97" s="27"/>
      <c r="G97" s="27"/>
      <c r="H97" s="27"/>
      <c r="I97" s="27"/>
      <c r="J97" s="27"/>
      <c r="K97" s="27"/>
      <c r="L97" s="27"/>
      <c r="M97" s="27"/>
      <c r="N97" s="27"/>
      <c r="O97" s="27"/>
      <c r="P97" s="27"/>
      <c r="Q97" s="27"/>
      <c r="R97" s="27"/>
      <c r="S97" s="27"/>
      <c r="T97" s="27"/>
      <c r="U97" s="27"/>
    </row>
    <row r="98" spans="1:22" x14ac:dyDescent="0.25">
      <c r="A98" s="27"/>
      <c r="B98" s="27" t="str">
        <f>IF(Table5[[#This Row],[Source Name]]="","-",Table5[[#This Row],[Source Name]])</f>
        <v>-</v>
      </c>
      <c r="C98" s="27"/>
      <c r="D98" s="27"/>
      <c r="E98" s="27"/>
      <c r="F98" s="27"/>
      <c r="G98" s="27"/>
      <c r="H98" s="27"/>
      <c r="I98" s="27"/>
      <c r="J98" s="27"/>
      <c r="K98" s="27"/>
      <c r="L98" s="27"/>
      <c r="M98" s="27"/>
      <c r="N98" s="27"/>
      <c r="O98" s="27"/>
      <c r="P98" s="27"/>
      <c r="Q98" s="27"/>
      <c r="R98" s="27"/>
      <c r="S98" s="27"/>
      <c r="T98" s="27"/>
      <c r="U98" s="27"/>
    </row>
    <row r="99" spans="1:22" x14ac:dyDescent="0.25">
      <c r="A99" s="27"/>
      <c r="B99" s="27" t="str">
        <f>IF(Table5[[#This Row],[Source Name]]="","-",Table5[[#This Row],[Source Name]])</f>
        <v>-</v>
      </c>
      <c r="C99" s="27"/>
      <c r="D99" s="27"/>
      <c r="E99" s="27"/>
      <c r="F99" s="27"/>
      <c r="G99" s="27"/>
      <c r="H99" s="27"/>
      <c r="I99" s="27"/>
      <c r="J99" s="27"/>
      <c r="K99" s="27"/>
      <c r="L99" s="27"/>
      <c r="M99" s="27"/>
      <c r="N99" s="27"/>
      <c r="O99" s="27"/>
      <c r="P99" s="27"/>
      <c r="Q99" s="27"/>
      <c r="R99" s="27"/>
      <c r="S99" s="27"/>
      <c r="T99" s="27"/>
      <c r="U99" s="27"/>
    </row>
    <row r="100" spans="1:22" x14ac:dyDescent="0.25">
      <c r="A100" s="27"/>
      <c r="B100" s="27" t="str">
        <f>IF(Table5[[#This Row],[Source Name]]="","-",Table5[[#This Row],[Source Name]])</f>
        <v>-</v>
      </c>
      <c r="C100" s="27"/>
      <c r="D100" s="27"/>
      <c r="E100" s="27"/>
      <c r="F100" s="27"/>
      <c r="G100" s="27"/>
      <c r="H100" s="27"/>
      <c r="I100" s="27"/>
      <c r="J100" s="27"/>
      <c r="K100" s="27"/>
      <c r="L100" s="27"/>
      <c r="M100" s="27"/>
      <c r="N100" s="27"/>
      <c r="O100" s="27"/>
      <c r="P100" s="27"/>
      <c r="Q100" s="27"/>
      <c r="R100" s="27"/>
      <c r="S100" s="27"/>
      <c r="T100" s="27"/>
      <c r="U100" s="27"/>
      <c r="V100" s="27"/>
    </row>
  </sheetData>
  <mergeCells count="4">
    <mergeCell ref="A2:V2"/>
    <mergeCell ref="A1:V1"/>
    <mergeCell ref="A3:N3"/>
    <mergeCell ref="O3:V3"/>
  </mergeCells>
  <conditionalFormatting sqref="V100:V167 U7:U99">
    <cfRule type="containsText" dxfId="51" priority="9" operator="containsText" text="Open"/>
    <cfRule type="containsText" dxfId="50" priority="11" operator="containsText" text="Approved"/>
    <cfRule type="containsText" dxfId="49" priority="13" operator="containsText" text="In Progress"/>
    <cfRule type="containsText" dxfId="48" priority="14" operator="containsText" text="Draft"/>
  </conditionalFormatting>
  <conditionalFormatting sqref="U6">
    <cfRule type="containsText" dxfId="43" priority="1" operator="containsText" text="Open"/>
    <cfRule type="containsText" dxfId="42" priority="2" operator="containsText" text="Approved"/>
    <cfRule type="containsText" dxfId="41" priority="3" operator="containsText" text="In Progress"/>
    <cfRule type="containsText" dxfId="40" priority="4" operator="containsText" text="Draft"/>
  </conditionalFormatting>
  <dataValidations count="4">
    <dataValidation type="list" allowBlank="1" sqref="M100:M167 O100:P167 N6:N167" xr:uid="{00000000-0002-0000-0300-000000000000}">
      <formula1>"Yes,No"</formula1>
    </dataValidation>
    <dataValidation type="list" allowBlank="1" sqref="Q100:Q167" xr:uid="{00000000-0002-0000-0300-000004000000}">
      <formula1>"High,Medium,Low"</formula1>
    </dataValidation>
    <dataValidation type="list" allowBlank="1" sqref="V100:V167" xr:uid="{00000000-0002-0000-0300-000005000000}">
      <formula1>"Not Started,Draft,In Progress,Blocked,Ready for Review,Approved,Deferred,Closed"</formula1>
    </dataValidation>
    <dataValidation errorStyle="warning" showErrorMessage="1" errorTitle="Invalid value" error="Select a value from the dropdown list." sqref="G6:G7 K6:K7 S6:S7 N6:N7" xr:uid="{6A89AABB-0437-495E-889F-C754E551C0A6}"/>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D1DA6CE8-FC52-4F1D-A7F8-8464D7454D8E}">
          <x14:formula1>
            <xm:f>'11 Lists'!$A$5:$A$6</xm:f>
          </x14:formula1>
          <xm:sqref>P6:P99 S8:S99</xm:sqref>
        </x14:dataValidation>
        <x14:dataValidation type="list" allowBlank="1" xr:uid="{FE606E40-2E74-4413-BFB2-C690ED15E0B2}">
          <x14:formula1>
            <xm:f>'11 Lists'!$G$5:$G$9</xm:f>
          </x14:formula1>
          <xm:sqref>U6:U99</xm:sqref>
        </x14:dataValidation>
        <x14:dataValidation type="list" errorStyle="warning" showErrorMessage="1" errorTitle="Invalid value" error="Select a value from the dropdown list." xr:uid="{7BCC15F6-A8A4-4A21-B0C9-C99D448E9576}">
          <x14:formula1>
            <xm:f>'11 Lists'!$D$5:$D$13</xm:f>
          </x14:formula1>
          <xm:sqref>I6:I7</xm:sqref>
        </x14:dataValidation>
        <x14:dataValidation type="list" errorStyle="warning" allowBlank="1" showErrorMessage="1" errorTitle="Invalid value" error="Select a value from the dropdown list." xr:uid="{98E3A6E8-ECE6-4CA4-9783-250A5737C210}">
          <x14:formula1>
            <xm:f>'11 Lists'!$D$5:$D$13</xm:f>
          </x14:formula1>
          <xm:sqref>I8:I99</xm:sqref>
        </x14:dataValidation>
        <x14:dataValidation type="list" allowBlank="1" showInputMessage="1" showErrorMessage="1" xr:uid="{7B991AE3-668F-4A3F-8950-C1316FD5A231}">
          <x14:formula1>
            <xm:f>'11 Lists'!$E$5:$E$13</xm:f>
          </x14:formula1>
          <xm:sqref>J6:J99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43C2-5775-4126-9A46-79EBDF3921A0}">
  <dimension ref="A1:AW100"/>
  <sheetViews>
    <sheetView workbookViewId="0">
      <pane ySplit="3" topLeftCell="A4" activePane="bottomLeft" state="frozen"/>
      <selection pane="bottomLeft" activeCell="B6" sqref="B6:D7"/>
    </sheetView>
  </sheetViews>
  <sheetFormatPr defaultRowHeight="15" x14ac:dyDescent="0.25"/>
  <cols>
    <col min="1" max="1" width="13.42578125" style="1" customWidth="1"/>
    <col min="2" max="2" width="22" style="1" customWidth="1"/>
    <col min="3" max="3" width="20.7109375" style="1" bestFit="1" customWidth="1"/>
    <col min="4" max="4" width="23.5703125" style="1" bestFit="1" customWidth="1"/>
    <col min="5" max="5" width="21.7109375" style="1" bestFit="1" customWidth="1"/>
    <col min="6" max="6" width="27.42578125" style="1" customWidth="1"/>
    <col min="7" max="7" width="26.5703125" style="1" customWidth="1"/>
    <col min="8" max="8" width="23" style="65" customWidth="1"/>
    <col min="9" max="9" width="24" style="1" customWidth="1"/>
    <col min="10" max="10" width="21.140625" style="1" customWidth="1"/>
    <col min="11" max="11" width="17.7109375" style="1" bestFit="1" customWidth="1"/>
    <col min="12" max="12" width="29.7109375" style="1" bestFit="1" customWidth="1"/>
    <col min="13" max="13" width="24.140625" style="1" customWidth="1"/>
    <col min="14" max="14" width="23.140625" style="1" bestFit="1" customWidth="1"/>
    <col min="15" max="15" width="19" style="1" customWidth="1"/>
    <col min="16" max="16" width="21.7109375" style="1" bestFit="1" customWidth="1"/>
    <col min="17" max="17" width="18" style="1" customWidth="1"/>
    <col min="18" max="18" width="16" style="1" customWidth="1"/>
    <col min="19" max="19" width="38.7109375" style="1" customWidth="1"/>
    <col min="20" max="20" width="20.42578125" style="1" bestFit="1" customWidth="1"/>
    <col min="21" max="21" width="27.42578125" style="1" bestFit="1" customWidth="1"/>
    <col min="22" max="16384" width="9.140625" style="1"/>
  </cols>
  <sheetData>
    <row r="1" spans="1:49" ht="24" customHeight="1" x14ac:dyDescent="0.25">
      <c r="A1" s="109" t="s">
        <v>655</v>
      </c>
      <c r="B1" s="109"/>
      <c r="C1" s="109"/>
      <c r="D1" s="109"/>
      <c r="E1" s="109"/>
      <c r="F1" s="109"/>
      <c r="G1" s="109"/>
      <c r="H1" s="109"/>
      <c r="I1" s="109"/>
      <c r="J1" s="109"/>
      <c r="K1" s="109"/>
      <c r="L1" s="109"/>
      <c r="M1" s="109"/>
      <c r="N1" s="109"/>
      <c r="O1" s="109"/>
      <c r="P1" s="109"/>
      <c r="Q1" s="109"/>
      <c r="R1" s="109"/>
      <c r="S1" s="109"/>
      <c r="T1" s="109"/>
      <c r="U1" s="109"/>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ht="33.950000000000003" customHeight="1" x14ac:dyDescent="0.25">
      <c r="A2" s="111" t="s">
        <v>707</v>
      </c>
      <c r="B2" s="110"/>
      <c r="C2" s="110"/>
      <c r="D2" s="110"/>
      <c r="E2" s="110"/>
      <c r="F2" s="110"/>
      <c r="G2" s="110"/>
      <c r="H2" s="110"/>
      <c r="I2" s="110"/>
      <c r="J2" s="110"/>
      <c r="K2" s="110"/>
      <c r="L2" s="110"/>
      <c r="M2" s="110"/>
      <c r="N2" s="110"/>
      <c r="O2" s="110"/>
      <c r="P2" s="110"/>
      <c r="Q2" s="110"/>
      <c r="R2" s="110"/>
      <c r="S2" s="110"/>
      <c r="T2" s="110"/>
      <c r="U2" s="110"/>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ht="20.100000000000001" customHeight="1" x14ac:dyDescent="0.25">
      <c r="A3" s="97" t="s">
        <v>640</v>
      </c>
      <c r="B3" s="98"/>
      <c r="C3" s="98"/>
      <c r="D3" s="98"/>
      <c r="E3" s="98"/>
      <c r="F3" s="98"/>
      <c r="G3" s="98"/>
      <c r="H3" s="98"/>
      <c r="I3" s="98"/>
      <c r="J3" s="98"/>
      <c r="K3" s="98"/>
      <c r="L3" s="98"/>
      <c r="M3" s="98"/>
      <c r="N3" s="113"/>
      <c r="O3" s="113"/>
      <c r="P3" s="113"/>
      <c r="Q3" s="113"/>
      <c r="R3" s="113"/>
      <c r="S3" s="113"/>
      <c r="T3" s="113"/>
      <c r="U3" s="113"/>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spans="1:49" ht="27" x14ac:dyDescent="0.25">
      <c r="A4" s="87" t="s">
        <v>656</v>
      </c>
      <c r="B4" s="87" t="s">
        <v>93</v>
      </c>
      <c r="C4" s="87" t="s">
        <v>594</v>
      </c>
      <c r="D4" s="87" t="s">
        <v>172</v>
      </c>
      <c r="E4" s="87" t="s">
        <v>657</v>
      </c>
      <c r="F4" s="87" t="s">
        <v>196</v>
      </c>
      <c r="G4" s="87" t="s">
        <v>658</v>
      </c>
      <c r="H4" s="87" t="s">
        <v>659</v>
      </c>
      <c r="I4" s="87" t="s">
        <v>660</v>
      </c>
      <c r="J4" s="87" t="s">
        <v>661</v>
      </c>
      <c r="K4" s="87" t="s">
        <v>662</v>
      </c>
      <c r="L4" s="87" t="s">
        <v>663</v>
      </c>
      <c r="M4" s="87" t="s">
        <v>664</v>
      </c>
      <c r="N4" s="89" t="s">
        <v>665</v>
      </c>
      <c r="O4" s="89" t="s">
        <v>351</v>
      </c>
      <c r="P4" s="89" t="s">
        <v>666</v>
      </c>
      <c r="Q4" s="89" t="s">
        <v>603</v>
      </c>
      <c r="R4" s="89" t="s">
        <v>178</v>
      </c>
      <c r="S4" s="89" t="s">
        <v>667</v>
      </c>
      <c r="T4" s="89" t="s">
        <v>66</v>
      </c>
      <c r="U4" s="89" t="s">
        <v>67</v>
      </c>
      <c r="V4" s="2"/>
      <c r="W4" s="2"/>
      <c r="X4" s="2"/>
      <c r="Y4" s="2"/>
      <c r="Z4" s="2"/>
      <c r="AA4" s="2"/>
      <c r="AB4" s="2"/>
      <c r="AC4" s="2"/>
      <c r="AD4" s="2"/>
      <c r="AE4" s="2"/>
      <c r="AF4" s="2"/>
      <c r="AG4" s="2"/>
      <c r="AH4" s="2"/>
      <c r="AI4" s="2"/>
      <c r="AJ4" s="2"/>
      <c r="AK4" s="2"/>
      <c r="AL4" s="2"/>
      <c r="AM4" s="2"/>
      <c r="AN4" s="2"/>
      <c r="AO4" s="2"/>
      <c r="AP4" s="2"/>
      <c r="AQ4" s="2"/>
      <c r="AR4" s="2"/>
      <c r="AS4" s="2"/>
      <c r="AT4" s="2"/>
      <c r="AU4" s="2"/>
      <c r="AV4" s="2"/>
      <c r="AW4" s="2"/>
    </row>
    <row r="5" spans="1:49" ht="48" customHeight="1" x14ac:dyDescent="0.25">
      <c r="A5" s="95" t="s">
        <v>668</v>
      </c>
      <c r="B5" s="95" t="s">
        <v>669</v>
      </c>
      <c r="C5" s="103" t="s">
        <v>709</v>
      </c>
      <c r="D5" s="95" t="s">
        <v>670</v>
      </c>
      <c r="E5" s="95" t="s">
        <v>671</v>
      </c>
      <c r="F5" s="103" t="s">
        <v>713</v>
      </c>
      <c r="G5" s="103" t="s">
        <v>672</v>
      </c>
      <c r="H5" s="103" t="s">
        <v>673</v>
      </c>
      <c r="I5" s="95" t="s">
        <v>674</v>
      </c>
      <c r="J5" s="95" t="s">
        <v>675</v>
      </c>
      <c r="K5" s="95" t="s">
        <v>676</v>
      </c>
      <c r="L5" s="95" t="s">
        <v>677</v>
      </c>
      <c r="M5" s="95" t="s">
        <v>678</v>
      </c>
      <c r="N5" s="95" t="s">
        <v>679</v>
      </c>
      <c r="O5" s="95" t="s">
        <v>680</v>
      </c>
      <c r="P5" s="95" t="s">
        <v>681</v>
      </c>
      <c r="Q5" s="95" t="s">
        <v>682</v>
      </c>
      <c r="R5" s="95" t="s">
        <v>683</v>
      </c>
      <c r="S5" s="95" t="s">
        <v>684</v>
      </c>
      <c r="T5" s="95" t="s">
        <v>685</v>
      </c>
      <c r="U5" s="95" t="s">
        <v>686</v>
      </c>
      <c r="V5" s="2"/>
      <c r="W5" s="2"/>
      <c r="X5" s="2"/>
      <c r="Y5" s="2"/>
      <c r="Z5" s="2"/>
      <c r="AA5" s="2"/>
      <c r="AB5" s="2"/>
      <c r="AC5" s="2"/>
      <c r="AD5" s="2"/>
      <c r="AE5" s="2"/>
      <c r="AF5" s="2"/>
      <c r="AG5" s="2"/>
      <c r="AH5" s="2"/>
      <c r="AI5" s="2"/>
      <c r="AJ5" s="2"/>
      <c r="AK5" s="2"/>
      <c r="AL5" s="2"/>
      <c r="AM5" s="2"/>
      <c r="AN5" s="2"/>
      <c r="AO5" s="2"/>
      <c r="AP5" s="2"/>
      <c r="AQ5" s="2"/>
      <c r="AR5" s="2"/>
      <c r="AS5" s="2"/>
      <c r="AT5" s="2"/>
      <c r="AU5" s="2"/>
      <c r="AV5" s="2"/>
      <c r="AW5" s="2"/>
    </row>
    <row r="6" spans="1:49" ht="40.5" x14ac:dyDescent="0.25">
      <c r="A6" s="96" t="s">
        <v>687</v>
      </c>
      <c r="B6" s="27" t="str">
        <f>IF(Table5[[#This Row],[Source Name]]="","-",Table5[[#This Row],[Source Name]])</f>
        <v>Enterprise Licensing System</v>
      </c>
      <c r="C6" s="27" t="str">
        <f>IF(Table6[[#This Row],[Bronze Dataset / Object Name]]="","-",Table6[[#This Row],[Bronze Dataset / Object Name]])</f>
        <v>brz_licensing_license_master</v>
      </c>
      <c r="D6" s="96" t="s">
        <v>688</v>
      </c>
      <c r="E6" s="96" t="s">
        <v>181</v>
      </c>
      <c r="F6" s="96" t="s">
        <v>251</v>
      </c>
      <c r="G6" s="96" t="s">
        <v>689</v>
      </c>
      <c r="H6" s="96" t="s">
        <v>690</v>
      </c>
      <c r="I6" s="96" t="s">
        <v>691</v>
      </c>
      <c r="J6" s="96" t="s">
        <v>159</v>
      </c>
      <c r="K6" s="96" t="s">
        <v>159</v>
      </c>
      <c r="L6" s="96" t="s">
        <v>692</v>
      </c>
      <c r="M6" s="96" t="s">
        <v>693</v>
      </c>
      <c r="N6" s="96" t="s">
        <v>694</v>
      </c>
      <c r="O6" s="96" t="s">
        <v>695</v>
      </c>
      <c r="P6" s="96" t="s">
        <v>141</v>
      </c>
      <c r="Q6" s="96" t="s">
        <v>141</v>
      </c>
      <c r="R6" s="27" t="s">
        <v>137</v>
      </c>
      <c r="S6" s="27" t="s">
        <v>696</v>
      </c>
      <c r="T6" s="27" t="s">
        <v>184</v>
      </c>
      <c r="U6" s="27" t="s">
        <v>697</v>
      </c>
      <c r="V6" s="2"/>
      <c r="W6" s="2"/>
      <c r="X6" s="2"/>
      <c r="Y6" s="2"/>
      <c r="Z6" s="2"/>
      <c r="AA6" s="2"/>
      <c r="AB6" s="2"/>
      <c r="AC6" s="2"/>
      <c r="AD6" s="2"/>
      <c r="AE6" s="2"/>
      <c r="AF6" s="2"/>
      <c r="AG6" s="2"/>
      <c r="AH6" s="2"/>
      <c r="AI6" s="2"/>
      <c r="AJ6" s="2"/>
      <c r="AK6" s="2"/>
      <c r="AL6" s="2"/>
      <c r="AM6" s="2"/>
      <c r="AN6" s="2"/>
      <c r="AO6" s="2"/>
      <c r="AP6" s="2"/>
      <c r="AQ6" s="2"/>
      <c r="AR6" s="2"/>
      <c r="AS6" s="2"/>
      <c r="AT6" s="2"/>
      <c r="AU6" s="2"/>
      <c r="AV6" s="2"/>
      <c r="AW6" s="2"/>
    </row>
    <row r="7" spans="1:49" ht="54" x14ac:dyDescent="0.25">
      <c r="A7" s="96" t="s">
        <v>698</v>
      </c>
      <c r="B7" s="27" t="str">
        <f>IF(Table5[[#This Row],[Source Name]]="","-",Table5[[#This Row],[Source Name]])</f>
        <v>Grant Payments File</v>
      </c>
      <c r="C7" s="27" t="str">
        <f>IF(Table6[[#This Row],[Bronze Dataset / Object Name]]="","-",Table6[[#This Row],[Bronze Dataset / Object Name]])</f>
        <v>brz_finance_payments_weekly</v>
      </c>
      <c r="D7" s="96" t="s">
        <v>699</v>
      </c>
      <c r="E7" s="96" t="s">
        <v>187</v>
      </c>
      <c r="F7" s="96" t="s">
        <v>271</v>
      </c>
      <c r="G7" s="96" t="s">
        <v>700</v>
      </c>
      <c r="H7" s="96" t="s">
        <v>161</v>
      </c>
      <c r="I7" s="96" t="s">
        <v>701</v>
      </c>
      <c r="J7" s="96" t="s">
        <v>159</v>
      </c>
      <c r="K7" s="96" t="s">
        <v>159</v>
      </c>
      <c r="L7" s="96" t="s">
        <v>702</v>
      </c>
      <c r="M7" s="96" t="s">
        <v>703</v>
      </c>
      <c r="N7" s="96" t="s">
        <v>704</v>
      </c>
      <c r="O7" s="96" t="s">
        <v>705</v>
      </c>
      <c r="P7" s="96" t="s">
        <v>141</v>
      </c>
      <c r="Q7" s="96" t="s">
        <v>141</v>
      </c>
      <c r="R7" s="27" t="s">
        <v>155</v>
      </c>
      <c r="S7" s="27" t="s">
        <v>156</v>
      </c>
      <c r="T7" s="27" t="s">
        <v>190</v>
      </c>
      <c r="U7" s="27" t="s">
        <v>706</v>
      </c>
      <c r="V7" s="2"/>
      <c r="W7" s="2"/>
      <c r="X7" s="2"/>
      <c r="Y7" s="2"/>
      <c r="Z7" s="2"/>
      <c r="AA7" s="2"/>
      <c r="AB7" s="2"/>
      <c r="AC7" s="2"/>
      <c r="AD7" s="2"/>
      <c r="AE7" s="2"/>
      <c r="AF7" s="2"/>
      <c r="AG7" s="2"/>
      <c r="AH7" s="2"/>
      <c r="AI7" s="2"/>
      <c r="AJ7" s="2"/>
      <c r="AK7" s="2"/>
      <c r="AL7" s="2"/>
      <c r="AM7" s="2"/>
      <c r="AN7" s="2"/>
      <c r="AO7" s="2"/>
      <c r="AP7" s="2"/>
      <c r="AQ7" s="2"/>
      <c r="AR7" s="2"/>
      <c r="AS7" s="2"/>
      <c r="AT7" s="2"/>
      <c r="AU7" s="2"/>
      <c r="AV7" s="2"/>
      <c r="AW7" s="2"/>
    </row>
    <row r="8" spans="1:49" ht="27" customHeight="1" x14ac:dyDescent="0.25">
      <c r="A8" s="27"/>
      <c r="B8" s="27"/>
      <c r="C8" s="27"/>
      <c r="D8" s="27"/>
      <c r="E8" s="27"/>
      <c r="F8" s="27"/>
      <c r="G8" s="27"/>
      <c r="H8" s="96"/>
      <c r="I8" s="27"/>
      <c r="J8" s="27"/>
      <c r="K8" s="27"/>
      <c r="L8" s="27"/>
      <c r="M8" s="27"/>
      <c r="N8" s="27"/>
      <c r="O8" s="27"/>
      <c r="P8" s="27"/>
      <c r="Q8" s="27"/>
      <c r="R8" s="27"/>
      <c r="S8" s="27"/>
      <c r="T8" s="27"/>
      <c r="U8" s="27"/>
      <c r="V8" s="2"/>
      <c r="W8" s="2"/>
      <c r="X8" s="2"/>
      <c r="Y8" s="2"/>
      <c r="Z8" s="2"/>
      <c r="AA8" s="2"/>
      <c r="AB8" s="2"/>
      <c r="AC8" s="2"/>
      <c r="AD8" s="2"/>
      <c r="AE8" s="2"/>
      <c r="AF8" s="2"/>
      <c r="AG8" s="2"/>
      <c r="AH8" s="2"/>
      <c r="AI8" s="2"/>
      <c r="AJ8" s="2"/>
      <c r="AK8" s="2"/>
      <c r="AL8" s="2"/>
      <c r="AM8" s="2"/>
      <c r="AN8" s="2"/>
      <c r="AO8" s="2"/>
      <c r="AP8" s="2"/>
      <c r="AQ8" s="2"/>
      <c r="AR8" s="2"/>
      <c r="AS8" s="2"/>
      <c r="AT8" s="2"/>
      <c r="AU8" s="2"/>
      <c r="AV8" s="2"/>
      <c r="AW8" s="2"/>
    </row>
    <row r="9" spans="1:49" x14ac:dyDescent="0.25">
      <c r="A9" s="27"/>
      <c r="B9" s="27"/>
      <c r="C9" s="27"/>
      <c r="D9" s="27"/>
      <c r="E9" s="27"/>
      <c r="F9" s="27"/>
      <c r="G9" s="27"/>
      <c r="H9" s="27"/>
      <c r="I9" s="27"/>
      <c r="J9" s="27"/>
      <c r="K9" s="27"/>
      <c r="L9" s="27"/>
      <c r="M9" s="27"/>
      <c r="N9" s="27"/>
      <c r="O9" s="27"/>
      <c r="P9" s="27"/>
      <c r="Q9" s="27"/>
      <c r="R9" s="27"/>
      <c r="S9" s="27"/>
      <c r="T9" s="27"/>
      <c r="U9" s="27"/>
      <c r="V9" s="2"/>
      <c r="W9" s="2"/>
      <c r="X9" s="2"/>
      <c r="Y9" s="2"/>
      <c r="Z9" s="2"/>
      <c r="AA9" s="2"/>
      <c r="AB9" s="2"/>
      <c r="AC9" s="2"/>
      <c r="AD9" s="2"/>
      <c r="AE9" s="2"/>
      <c r="AF9" s="2"/>
      <c r="AG9" s="2"/>
      <c r="AH9" s="2"/>
      <c r="AI9" s="2"/>
      <c r="AJ9" s="2"/>
      <c r="AK9" s="2"/>
      <c r="AL9" s="2"/>
      <c r="AM9" s="2"/>
      <c r="AN9" s="2"/>
      <c r="AO9" s="2"/>
      <c r="AP9" s="2"/>
      <c r="AQ9" s="2"/>
      <c r="AR9" s="2"/>
      <c r="AS9" s="2"/>
      <c r="AT9" s="2"/>
      <c r="AU9" s="2"/>
      <c r="AV9" s="2"/>
      <c r="AW9" s="2"/>
    </row>
    <row r="10" spans="1:49" x14ac:dyDescent="0.25">
      <c r="A10" s="27"/>
      <c r="B10" s="27"/>
      <c r="C10" s="27"/>
      <c r="D10" s="27"/>
      <c r="E10" s="27"/>
      <c r="F10" s="27"/>
      <c r="G10" s="27"/>
      <c r="H10" s="27"/>
      <c r="I10" s="27"/>
      <c r="J10" s="27"/>
      <c r="K10" s="27"/>
      <c r="L10" s="27"/>
      <c r="M10" s="27"/>
      <c r="N10" s="27"/>
      <c r="O10" s="27"/>
      <c r="P10" s="27"/>
      <c r="Q10" s="27"/>
      <c r="R10" s="27"/>
      <c r="S10" s="27"/>
      <c r="T10" s="27"/>
      <c r="U10" s="27"/>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row>
    <row r="11" spans="1:49" x14ac:dyDescent="0.25">
      <c r="A11" s="27"/>
      <c r="B11" s="27"/>
      <c r="C11" s="27"/>
      <c r="D11" s="27"/>
      <c r="E11" s="27"/>
      <c r="F11" s="27"/>
      <c r="G11" s="27"/>
      <c r="H11" s="27"/>
      <c r="I11" s="27"/>
      <c r="J11" s="27"/>
      <c r="K11" s="27"/>
      <c r="L11" s="27"/>
      <c r="M11" s="27"/>
      <c r="N11" s="27"/>
      <c r="O11" s="27"/>
      <c r="P11" s="27"/>
      <c r="Q11" s="27"/>
      <c r="R11" s="27"/>
      <c r="S11" s="27"/>
      <c r="T11" s="27"/>
      <c r="U11" s="27"/>
    </row>
    <row r="12" spans="1:49" x14ac:dyDescent="0.25">
      <c r="A12" s="27"/>
      <c r="B12" s="27"/>
      <c r="C12" s="27"/>
      <c r="D12" s="27"/>
      <c r="E12" s="27"/>
      <c r="F12" s="27"/>
      <c r="G12" s="27"/>
      <c r="H12" s="27"/>
      <c r="I12" s="27"/>
      <c r="J12" s="27"/>
      <c r="K12" s="27"/>
      <c r="L12" s="27"/>
      <c r="M12" s="27"/>
      <c r="N12" s="27"/>
      <c r="O12" s="27"/>
      <c r="P12" s="27"/>
      <c r="Q12" s="27"/>
      <c r="R12" s="27"/>
      <c r="S12" s="27"/>
      <c r="T12" s="27"/>
      <c r="U12" s="27"/>
    </row>
    <row r="13" spans="1:49" x14ac:dyDescent="0.25">
      <c r="A13" s="27"/>
      <c r="B13" s="27"/>
      <c r="C13" s="27"/>
      <c r="D13" s="27"/>
      <c r="E13" s="27"/>
      <c r="F13" s="27"/>
      <c r="G13" s="27"/>
      <c r="H13" s="27"/>
      <c r="I13" s="27"/>
      <c r="J13" s="27"/>
      <c r="K13" s="27"/>
      <c r="L13" s="27"/>
      <c r="M13" s="27"/>
      <c r="N13" s="27"/>
      <c r="O13" s="27"/>
      <c r="P13" s="27"/>
      <c r="Q13" s="27"/>
      <c r="R13" s="27"/>
      <c r="S13" s="27"/>
      <c r="T13" s="27"/>
      <c r="U13" s="27"/>
    </row>
    <row r="14" spans="1:49" x14ac:dyDescent="0.25">
      <c r="A14" s="27"/>
      <c r="B14" s="27"/>
      <c r="C14" s="27"/>
      <c r="D14" s="27"/>
      <c r="E14" s="27"/>
      <c r="F14" s="27"/>
      <c r="G14" s="27"/>
      <c r="H14" s="27"/>
      <c r="I14" s="27"/>
      <c r="J14" s="27"/>
      <c r="K14" s="27"/>
      <c r="L14" s="27"/>
      <c r="M14" s="27"/>
      <c r="N14" s="27"/>
      <c r="O14" s="27"/>
      <c r="P14" s="27"/>
      <c r="Q14" s="27"/>
      <c r="R14" s="27"/>
      <c r="S14" s="27"/>
      <c r="T14" s="27"/>
      <c r="U14" s="27"/>
    </row>
    <row r="15" spans="1:49" x14ac:dyDescent="0.25">
      <c r="A15" s="27"/>
      <c r="B15" s="27"/>
      <c r="C15" s="27"/>
      <c r="D15" s="27"/>
      <c r="E15" s="27"/>
      <c r="F15" s="27"/>
      <c r="G15" s="27"/>
      <c r="H15" s="27"/>
      <c r="I15" s="27"/>
      <c r="J15" s="27"/>
      <c r="K15" s="27"/>
      <c r="L15" s="27"/>
      <c r="M15" s="27"/>
      <c r="N15" s="27"/>
      <c r="O15" s="27"/>
      <c r="P15" s="27"/>
      <c r="Q15" s="27"/>
      <c r="R15" s="27"/>
      <c r="S15" s="27"/>
      <c r="T15" s="27"/>
      <c r="U15" s="27"/>
    </row>
    <row r="16" spans="1:49" x14ac:dyDescent="0.25">
      <c r="A16" s="27"/>
      <c r="B16" s="27"/>
      <c r="C16" s="27"/>
      <c r="D16" s="27"/>
      <c r="E16" s="27"/>
      <c r="F16" s="27"/>
      <c r="G16" s="27"/>
      <c r="H16" s="27"/>
      <c r="I16" s="27"/>
      <c r="J16" s="27"/>
      <c r="K16" s="27"/>
      <c r="L16" s="27"/>
      <c r="M16" s="27"/>
      <c r="N16" s="27"/>
      <c r="O16" s="27"/>
      <c r="P16" s="27"/>
      <c r="Q16" s="27"/>
      <c r="R16" s="27"/>
      <c r="S16" s="27"/>
      <c r="T16" s="27"/>
      <c r="U16" s="27"/>
    </row>
    <row r="17" spans="1:21" x14ac:dyDescent="0.25">
      <c r="A17" s="27"/>
      <c r="B17" s="27"/>
      <c r="C17" s="27"/>
      <c r="D17" s="27"/>
      <c r="E17" s="27"/>
      <c r="F17" s="27"/>
      <c r="G17" s="27"/>
      <c r="H17" s="27"/>
      <c r="I17" s="27"/>
      <c r="J17" s="27"/>
      <c r="K17" s="27"/>
      <c r="L17" s="27"/>
      <c r="M17" s="27"/>
      <c r="N17" s="27"/>
      <c r="O17" s="27"/>
      <c r="P17" s="27"/>
      <c r="Q17" s="27"/>
      <c r="R17" s="27"/>
      <c r="S17" s="27"/>
      <c r="T17" s="27"/>
      <c r="U17" s="27"/>
    </row>
    <row r="18" spans="1:21" x14ac:dyDescent="0.25">
      <c r="A18" s="27"/>
      <c r="B18" s="27"/>
      <c r="C18" s="27"/>
      <c r="D18" s="27"/>
      <c r="E18" s="27"/>
      <c r="F18" s="27"/>
      <c r="G18" s="27"/>
      <c r="H18" s="27"/>
      <c r="I18" s="27"/>
      <c r="J18" s="27"/>
      <c r="K18" s="27"/>
      <c r="L18" s="27"/>
      <c r="M18" s="27"/>
      <c r="N18" s="27"/>
      <c r="O18" s="27"/>
      <c r="P18" s="27"/>
      <c r="Q18" s="27"/>
      <c r="R18" s="27"/>
      <c r="S18" s="27"/>
      <c r="T18" s="27"/>
      <c r="U18" s="27"/>
    </row>
    <row r="19" spans="1:21" x14ac:dyDescent="0.25">
      <c r="A19" s="27"/>
      <c r="B19" s="27"/>
      <c r="C19" s="27"/>
      <c r="D19" s="27"/>
      <c r="E19" s="27"/>
      <c r="F19" s="27"/>
      <c r="G19" s="27"/>
      <c r="H19" s="27"/>
      <c r="I19" s="27"/>
      <c r="J19" s="27"/>
      <c r="K19" s="27"/>
      <c r="L19" s="27"/>
      <c r="M19" s="27"/>
      <c r="N19" s="27"/>
      <c r="O19" s="27"/>
      <c r="P19" s="27"/>
      <c r="Q19" s="27"/>
      <c r="R19" s="27"/>
      <c r="S19" s="27"/>
      <c r="T19" s="27"/>
      <c r="U19" s="27"/>
    </row>
    <row r="20" spans="1:21" x14ac:dyDescent="0.25">
      <c r="A20" s="27"/>
      <c r="B20" s="27"/>
      <c r="C20" s="27"/>
      <c r="D20" s="27"/>
      <c r="E20" s="27"/>
      <c r="F20" s="27"/>
      <c r="G20" s="27"/>
      <c r="H20" s="27"/>
      <c r="I20" s="27"/>
      <c r="J20" s="27"/>
      <c r="K20" s="27"/>
      <c r="L20" s="27"/>
      <c r="M20" s="27"/>
      <c r="N20" s="27"/>
      <c r="O20" s="27"/>
      <c r="P20" s="27"/>
      <c r="Q20" s="27"/>
      <c r="R20" s="27"/>
      <c r="S20" s="27"/>
      <c r="T20" s="27"/>
      <c r="U20" s="27"/>
    </row>
    <row r="21" spans="1:21" x14ac:dyDescent="0.25">
      <c r="A21" s="27"/>
      <c r="B21" s="27"/>
      <c r="C21" s="27"/>
      <c r="D21" s="27"/>
      <c r="E21" s="27"/>
      <c r="F21" s="27"/>
      <c r="G21" s="27"/>
      <c r="H21" s="27"/>
      <c r="I21" s="27"/>
      <c r="J21" s="27"/>
      <c r="K21" s="27"/>
      <c r="L21" s="27"/>
      <c r="M21" s="27"/>
      <c r="N21" s="27"/>
      <c r="O21" s="27"/>
      <c r="P21" s="27"/>
      <c r="Q21" s="27"/>
      <c r="R21" s="27"/>
      <c r="S21" s="27"/>
      <c r="T21" s="27"/>
      <c r="U21" s="27"/>
    </row>
    <row r="22" spans="1:21" x14ac:dyDescent="0.25">
      <c r="A22" s="27"/>
      <c r="B22" s="27"/>
      <c r="C22" s="27"/>
      <c r="D22" s="27"/>
      <c r="E22" s="27"/>
      <c r="F22" s="27"/>
      <c r="G22" s="27"/>
      <c r="H22" s="27"/>
      <c r="I22" s="27"/>
      <c r="J22" s="27"/>
      <c r="K22" s="27"/>
      <c r="L22" s="27"/>
      <c r="M22" s="27"/>
      <c r="N22" s="27"/>
      <c r="O22" s="27"/>
      <c r="P22" s="27"/>
      <c r="Q22" s="27"/>
      <c r="R22" s="27"/>
      <c r="S22" s="27"/>
      <c r="T22" s="27"/>
      <c r="U22" s="27"/>
    </row>
    <row r="23" spans="1:21" x14ac:dyDescent="0.25">
      <c r="A23" s="27"/>
      <c r="B23" s="27"/>
      <c r="C23" s="27"/>
      <c r="D23" s="27"/>
      <c r="E23" s="27"/>
      <c r="F23" s="27"/>
      <c r="G23" s="27"/>
      <c r="H23" s="27"/>
      <c r="I23" s="27"/>
      <c r="J23" s="27"/>
      <c r="K23" s="27"/>
      <c r="L23" s="27"/>
      <c r="M23" s="27"/>
      <c r="N23" s="27"/>
      <c r="O23" s="27"/>
      <c r="P23" s="27"/>
      <c r="Q23" s="27"/>
      <c r="R23" s="27"/>
      <c r="S23" s="27"/>
      <c r="T23" s="27"/>
      <c r="U23" s="27"/>
    </row>
    <row r="24" spans="1:21" x14ac:dyDescent="0.25">
      <c r="A24" s="27"/>
      <c r="B24" s="27"/>
      <c r="C24" s="27"/>
      <c r="D24" s="27"/>
      <c r="E24" s="27"/>
      <c r="F24" s="27"/>
      <c r="G24" s="27"/>
      <c r="H24" s="27"/>
      <c r="I24" s="27"/>
      <c r="J24" s="27"/>
      <c r="K24" s="27"/>
      <c r="L24" s="27"/>
      <c r="M24" s="27"/>
      <c r="N24" s="27"/>
      <c r="O24" s="27"/>
      <c r="P24" s="27"/>
      <c r="Q24" s="27"/>
      <c r="R24" s="27"/>
      <c r="S24" s="27"/>
      <c r="T24" s="27"/>
      <c r="U24" s="27"/>
    </row>
    <row r="25" spans="1:21" x14ac:dyDescent="0.25">
      <c r="A25" s="27"/>
      <c r="B25" s="27"/>
      <c r="C25" s="27"/>
      <c r="D25" s="27"/>
      <c r="E25" s="27"/>
      <c r="F25" s="27"/>
      <c r="G25" s="27"/>
      <c r="H25" s="27"/>
      <c r="I25" s="27"/>
      <c r="J25" s="27"/>
      <c r="K25" s="27"/>
      <c r="L25" s="27"/>
      <c r="M25" s="27"/>
      <c r="N25" s="27"/>
      <c r="O25" s="27"/>
      <c r="P25" s="27"/>
      <c r="Q25" s="27"/>
      <c r="R25" s="27"/>
      <c r="S25" s="27"/>
      <c r="T25" s="27"/>
      <c r="U25" s="27"/>
    </row>
    <row r="26" spans="1:21" x14ac:dyDescent="0.25">
      <c r="A26" s="27"/>
      <c r="B26" s="27"/>
      <c r="C26" s="27"/>
      <c r="D26" s="27"/>
      <c r="E26" s="27"/>
      <c r="F26" s="27"/>
      <c r="G26" s="27"/>
      <c r="H26" s="27"/>
      <c r="I26" s="27"/>
      <c r="J26" s="27"/>
      <c r="K26" s="27"/>
      <c r="L26" s="27"/>
      <c r="M26" s="27"/>
      <c r="N26" s="27"/>
      <c r="O26" s="27"/>
      <c r="P26" s="27"/>
      <c r="Q26" s="27"/>
      <c r="R26" s="27"/>
      <c r="S26" s="27"/>
      <c r="T26" s="27"/>
      <c r="U26" s="27"/>
    </row>
    <row r="27" spans="1:21" x14ac:dyDescent="0.25">
      <c r="A27" s="27"/>
      <c r="B27" s="27"/>
      <c r="C27" s="27"/>
      <c r="D27" s="27"/>
      <c r="E27" s="27"/>
      <c r="F27" s="27"/>
      <c r="G27" s="27"/>
      <c r="H27" s="27"/>
      <c r="I27" s="27"/>
      <c r="J27" s="27"/>
      <c r="K27" s="27"/>
      <c r="L27" s="27"/>
      <c r="M27" s="27"/>
      <c r="N27" s="27"/>
      <c r="O27" s="27"/>
      <c r="P27" s="27"/>
      <c r="Q27" s="27"/>
      <c r="R27" s="27"/>
      <c r="S27" s="27"/>
      <c r="T27" s="27"/>
      <c r="U27" s="27"/>
    </row>
    <row r="28" spans="1:21" x14ac:dyDescent="0.25">
      <c r="A28" s="27"/>
      <c r="B28" s="27"/>
      <c r="C28" s="27"/>
      <c r="D28" s="27"/>
      <c r="E28" s="27"/>
      <c r="F28" s="27"/>
      <c r="G28" s="27"/>
      <c r="H28" s="27"/>
      <c r="I28" s="27"/>
      <c r="J28" s="27"/>
      <c r="K28" s="27"/>
      <c r="L28" s="27"/>
      <c r="M28" s="27"/>
      <c r="N28" s="27"/>
      <c r="O28" s="27"/>
      <c r="P28" s="27"/>
      <c r="Q28" s="27"/>
      <c r="R28" s="27"/>
      <c r="S28" s="27"/>
      <c r="T28" s="27"/>
      <c r="U28" s="27"/>
    </row>
    <row r="29" spans="1:21" x14ac:dyDescent="0.25">
      <c r="A29" s="27"/>
      <c r="B29" s="27"/>
      <c r="C29" s="27"/>
      <c r="D29" s="27"/>
      <c r="E29" s="27"/>
      <c r="F29" s="27"/>
      <c r="G29" s="27"/>
      <c r="H29" s="27"/>
      <c r="I29" s="27"/>
      <c r="J29" s="27"/>
      <c r="K29" s="27"/>
      <c r="L29" s="27"/>
      <c r="M29" s="27"/>
      <c r="N29" s="27"/>
      <c r="O29" s="27"/>
      <c r="P29" s="27"/>
      <c r="Q29" s="27"/>
      <c r="R29" s="27"/>
      <c r="S29" s="27"/>
      <c r="T29" s="27"/>
      <c r="U29" s="27"/>
    </row>
    <row r="30" spans="1:21" x14ac:dyDescent="0.25">
      <c r="A30" s="27"/>
      <c r="B30" s="27"/>
      <c r="C30" s="27"/>
      <c r="D30" s="27"/>
      <c r="E30" s="27"/>
      <c r="F30" s="27"/>
      <c r="G30" s="27"/>
      <c r="H30" s="27"/>
      <c r="I30" s="27"/>
      <c r="J30" s="27"/>
      <c r="K30" s="27"/>
      <c r="L30" s="27"/>
      <c r="M30" s="27"/>
      <c r="N30" s="27"/>
      <c r="O30" s="27"/>
      <c r="P30" s="27"/>
      <c r="Q30" s="27"/>
      <c r="R30" s="27"/>
      <c r="S30" s="27"/>
      <c r="T30" s="27"/>
      <c r="U30" s="27"/>
    </row>
    <row r="31" spans="1:21" x14ac:dyDescent="0.25">
      <c r="A31" s="27"/>
      <c r="B31" s="27"/>
      <c r="C31" s="27"/>
      <c r="D31" s="27"/>
      <c r="E31" s="27"/>
      <c r="F31" s="27"/>
      <c r="G31" s="27"/>
      <c r="H31" s="27"/>
      <c r="I31" s="27"/>
      <c r="J31" s="27"/>
      <c r="K31" s="27"/>
      <c r="L31" s="27"/>
      <c r="M31" s="27"/>
      <c r="N31" s="27"/>
      <c r="O31" s="27"/>
      <c r="P31" s="27"/>
      <c r="Q31" s="27"/>
      <c r="R31" s="27"/>
      <c r="S31" s="27"/>
      <c r="T31" s="27"/>
      <c r="U31" s="27"/>
    </row>
    <row r="32" spans="1:21" x14ac:dyDescent="0.25">
      <c r="A32" s="27"/>
      <c r="B32" s="27"/>
      <c r="C32" s="27"/>
      <c r="D32" s="27"/>
      <c r="E32" s="27"/>
      <c r="F32" s="27"/>
      <c r="G32" s="27"/>
      <c r="H32" s="27"/>
      <c r="I32" s="27"/>
      <c r="J32" s="27"/>
      <c r="K32" s="27"/>
      <c r="L32" s="27"/>
      <c r="M32" s="27"/>
      <c r="N32" s="27"/>
      <c r="O32" s="27"/>
      <c r="P32" s="27"/>
      <c r="Q32" s="27"/>
      <c r="R32" s="27"/>
      <c r="S32" s="27"/>
      <c r="T32" s="27"/>
      <c r="U32" s="27"/>
    </row>
    <row r="33" spans="1:21" x14ac:dyDescent="0.25">
      <c r="A33" s="27"/>
      <c r="B33" s="27"/>
      <c r="C33" s="27"/>
      <c r="D33" s="27"/>
      <c r="E33" s="27"/>
      <c r="F33" s="27"/>
      <c r="G33" s="27"/>
      <c r="H33" s="27"/>
      <c r="I33" s="27"/>
      <c r="J33" s="27"/>
      <c r="K33" s="27"/>
      <c r="L33" s="27"/>
      <c r="M33" s="27"/>
      <c r="N33" s="27"/>
      <c r="O33" s="27"/>
      <c r="P33" s="27"/>
      <c r="Q33" s="27"/>
      <c r="R33" s="27"/>
      <c r="S33" s="27"/>
      <c r="T33" s="27"/>
      <c r="U33" s="27"/>
    </row>
    <row r="34" spans="1:21" x14ac:dyDescent="0.25">
      <c r="A34" s="27"/>
      <c r="B34" s="27"/>
      <c r="C34" s="27"/>
      <c r="D34" s="27"/>
      <c r="E34" s="27"/>
      <c r="F34" s="27"/>
      <c r="G34" s="27"/>
      <c r="H34" s="27"/>
      <c r="I34" s="27"/>
      <c r="J34" s="27"/>
      <c r="K34" s="27"/>
      <c r="L34" s="27"/>
      <c r="M34" s="27"/>
      <c r="N34" s="27"/>
      <c r="O34" s="27"/>
      <c r="P34" s="27"/>
      <c r="Q34" s="27"/>
      <c r="R34" s="27"/>
      <c r="S34" s="27"/>
      <c r="T34" s="27"/>
      <c r="U34" s="27"/>
    </row>
    <row r="35" spans="1:21" x14ac:dyDescent="0.25">
      <c r="A35" s="27"/>
      <c r="B35" s="27"/>
      <c r="C35" s="27"/>
      <c r="D35" s="27"/>
      <c r="E35" s="27"/>
      <c r="F35" s="27"/>
      <c r="G35" s="27"/>
      <c r="H35" s="27"/>
      <c r="I35" s="27"/>
      <c r="J35" s="27"/>
      <c r="K35" s="27"/>
      <c r="L35" s="27"/>
      <c r="M35" s="27"/>
      <c r="N35" s="27"/>
      <c r="O35" s="27"/>
      <c r="P35" s="27"/>
      <c r="Q35" s="27"/>
      <c r="R35" s="27"/>
      <c r="S35" s="27"/>
      <c r="T35" s="27"/>
      <c r="U35" s="27"/>
    </row>
    <row r="36" spans="1:21" x14ac:dyDescent="0.25">
      <c r="A36" s="27"/>
      <c r="B36" s="27"/>
      <c r="C36" s="27"/>
      <c r="D36" s="27"/>
      <c r="E36" s="27"/>
      <c r="F36" s="27"/>
      <c r="G36" s="27"/>
      <c r="H36" s="27"/>
      <c r="I36" s="27"/>
      <c r="J36" s="27"/>
      <c r="K36" s="27"/>
      <c r="L36" s="27"/>
      <c r="M36" s="27"/>
      <c r="N36" s="27"/>
      <c r="O36" s="27"/>
      <c r="P36" s="27"/>
      <c r="Q36" s="27"/>
      <c r="R36" s="27"/>
      <c r="S36" s="27"/>
      <c r="T36" s="27"/>
      <c r="U36" s="27"/>
    </row>
    <row r="37" spans="1:21" x14ac:dyDescent="0.25">
      <c r="A37" s="27"/>
      <c r="B37" s="27"/>
      <c r="C37" s="27"/>
      <c r="D37" s="27"/>
      <c r="E37" s="27"/>
      <c r="F37" s="27"/>
      <c r="G37" s="27"/>
      <c r="H37" s="27"/>
      <c r="I37" s="27"/>
      <c r="J37" s="27"/>
      <c r="K37" s="27"/>
      <c r="L37" s="27"/>
      <c r="M37" s="27"/>
      <c r="N37" s="27"/>
      <c r="O37" s="27"/>
      <c r="P37" s="27"/>
      <c r="Q37" s="27"/>
      <c r="R37" s="27"/>
      <c r="S37" s="27"/>
      <c r="T37" s="27"/>
      <c r="U37" s="27"/>
    </row>
    <row r="38" spans="1:21" x14ac:dyDescent="0.25">
      <c r="A38" s="27"/>
      <c r="B38" s="27"/>
      <c r="C38" s="27"/>
      <c r="D38" s="27"/>
      <c r="E38" s="27"/>
      <c r="F38" s="27"/>
      <c r="G38" s="27"/>
      <c r="H38" s="27"/>
      <c r="I38" s="27"/>
      <c r="J38" s="27"/>
      <c r="K38" s="27"/>
      <c r="L38" s="27"/>
      <c r="M38" s="27"/>
      <c r="N38" s="27"/>
      <c r="O38" s="27"/>
      <c r="P38" s="27"/>
      <c r="Q38" s="27"/>
      <c r="R38" s="27"/>
      <c r="S38" s="27"/>
      <c r="T38" s="27"/>
      <c r="U38" s="27"/>
    </row>
    <row r="39" spans="1:21" x14ac:dyDescent="0.25">
      <c r="A39" s="27"/>
      <c r="B39" s="27"/>
      <c r="C39" s="27"/>
      <c r="D39" s="27"/>
      <c r="E39" s="27"/>
      <c r="F39" s="27"/>
      <c r="G39" s="27"/>
      <c r="H39" s="27"/>
      <c r="I39" s="27"/>
      <c r="J39" s="27"/>
      <c r="K39" s="27"/>
      <c r="L39" s="27"/>
      <c r="M39" s="27"/>
      <c r="N39" s="27"/>
      <c r="O39" s="27"/>
      <c r="P39" s="27"/>
      <c r="Q39" s="27"/>
      <c r="R39" s="27"/>
      <c r="S39" s="27"/>
      <c r="T39" s="27"/>
      <c r="U39" s="27"/>
    </row>
    <row r="40" spans="1:21" x14ac:dyDescent="0.25">
      <c r="A40" s="27"/>
      <c r="B40" s="27"/>
      <c r="C40" s="27"/>
      <c r="D40" s="27"/>
      <c r="E40" s="27"/>
      <c r="F40" s="27"/>
      <c r="G40" s="27"/>
      <c r="H40" s="27"/>
      <c r="I40" s="27"/>
      <c r="J40" s="27"/>
      <c r="K40" s="27"/>
      <c r="L40" s="27"/>
      <c r="M40" s="27"/>
      <c r="N40" s="27"/>
      <c r="O40" s="27"/>
      <c r="P40" s="27"/>
      <c r="Q40" s="27"/>
      <c r="R40" s="27"/>
      <c r="S40" s="27"/>
      <c r="T40" s="27"/>
      <c r="U40" s="27"/>
    </row>
    <row r="41" spans="1:21" x14ac:dyDescent="0.25">
      <c r="A41" s="27"/>
      <c r="B41" s="27"/>
      <c r="C41" s="27"/>
      <c r="D41" s="27"/>
      <c r="E41" s="27"/>
      <c r="F41" s="27"/>
      <c r="G41" s="27"/>
      <c r="H41" s="27"/>
      <c r="I41" s="27"/>
      <c r="J41" s="27"/>
      <c r="K41" s="27"/>
      <c r="L41" s="27"/>
      <c r="M41" s="27"/>
      <c r="N41" s="27"/>
      <c r="O41" s="27"/>
      <c r="P41" s="27"/>
      <c r="Q41" s="27"/>
      <c r="R41" s="27"/>
      <c r="S41" s="27"/>
      <c r="T41" s="27"/>
      <c r="U41" s="27"/>
    </row>
    <row r="42" spans="1:21" x14ac:dyDescent="0.25">
      <c r="A42" s="27"/>
      <c r="B42" s="27"/>
      <c r="C42" s="27"/>
      <c r="D42" s="27"/>
      <c r="E42" s="27"/>
      <c r="F42" s="27"/>
      <c r="G42" s="27"/>
      <c r="H42" s="27"/>
      <c r="I42" s="27"/>
      <c r="J42" s="27"/>
      <c r="K42" s="27"/>
      <c r="L42" s="27"/>
      <c r="M42" s="27"/>
      <c r="N42" s="27"/>
      <c r="O42" s="27"/>
      <c r="P42" s="27"/>
      <c r="Q42" s="27"/>
      <c r="R42" s="27"/>
      <c r="S42" s="27"/>
      <c r="T42" s="27"/>
      <c r="U42" s="27"/>
    </row>
    <row r="43" spans="1:21" x14ac:dyDescent="0.25">
      <c r="A43" s="27"/>
      <c r="B43" s="27"/>
      <c r="C43" s="27"/>
      <c r="D43" s="27"/>
      <c r="E43" s="27"/>
      <c r="F43" s="27"/>
      <c r="G43" s="27"/>
      <c r="H43" s="27"/>
      <c r="I43" s="27"/>
      <c r="J43" s="27"/>
      <c r="K43" s="27"/>
      <c r="L43" s="27"/>
      <c r="M43" s="27"/>
      <c r="N43" s="27"/>
      <c r="O43" s="27"/>
      <c r="P43" s="27"/>
      <c r="Q43" s="27"/>
      <c r="R43" s="27"/>
      <c r="S43" s="27"/>
      <c r="T43" s="27"/>
      <c r="U43" s="27"/>
    </row>
    <row r="44" spans="1:21" x14ac:dyDescent="0.25">
      <c r="A44" s="27"/>
      <c r="B44" s="27"/>
      <c r="C44" s="27"/>
      <c r="D44" s="27"/>
      <c r="E44" s="27"/>
      <c r="F44" s="27"/>
      <c r="G44" s="27"/>
      <c r="H44" s="27"/>
      <c r="I44" s="27"/>
      <c r="J44" s="27"/>
      <c r="K44" s="27"/>
      <c r="L44" s="27"/>
      <c r="M44" s="27"/>
      <c r="N44" s="27"/>
      <c r="O44" s="27"/>
      <c r="P44" s="27"/>
      <c r="Q44" s="27"/>
      <c r="R44" s="27"/>
      <c r="S44" s="27"/>
      <c r="T44" s="27"/>
      <c r="U44" s="27"/>
    </row>
    <row r="45" spans="1:21" x14ac:dyDescent="0.25">
      <c r="A45" s="27"/>
      <c r="B45" s="27"/>
      <c r="C45" s="27"/>
      <c r="D45" s="27"/>
      <c r="E45" s="27"/>
      <c r="F45" s="27"/>
      <c r="G45" s="27"/>
      <c r="H45" s="27"/>
      <c r="I45" s="27"/>
      <c r="J45" s="27"/>
      <c r="K45" s="27"/>
      <c r="L45" s="27"/>
      <c r="M45" s="27"/>
      <c r="N45" s="27"/>
      <c r="O45" s="27"/>
      <c r="P45" s="27"/>
      <c r="Q45" s="27"/>
      <c r="R45" s="27"/>
      <c r="S45" s="27"/>
      <c r="T45" s="27"/>
      <c r="U45" s="27"/>
    </row>
    <row r="46" spans="1:21" x14ac:dyDescent="0.25">
      <c r="A46" s="27"/>
      <c r="B46" s="27"/>
      <c r="C46" s="27"/>
      <c r="D46" s="27"/>
      <c r="E46" s="27"/>
      <c r="F46" s="27"/>
      <c r="G46" s="27"/>
      <c r="H46" s="27"/>
      <c r="I46" s="27"/>
      <c r="J46" s="27"/>
      <c r="K46" s="27"/>
      <c r="L46" s="27"/>
      <c r="M46" s="27"/>
      <c r="N46" s="27"/>
      <c r="O46" s="27"/>
      <c r="P46" s="27"/>
      <c r="Q46" s="27"/>
      <c r="R46" s="27"/>
      <c r="S46" s="27"/>
      <c r="T46" s="27"/>
      <c r="U46" s="27"/>
    </row>
    <row r="47" spans="1:21" x14ac:dyDescent="0.25">
      <c r="A47" s="27"/>
      <c r="B47" s="27"/>
      <c r="C47" s="27"/>
      <c r="D47" s="27"/>
      <c r="E47" s="27"/>
      <c r="F47" s="27"/>
      <c r="G47" s="27"/>
      <c r="H47" s="27"/>
      <c r="I47" s="27"/>
      <c r="J47" s="27"/>
      <c r="K47" s="27"/>
      <c r="L47" s="27"/>
      <c r="M47" s="27"/>
      <c r="N47" s="27"/>
      <c r="O47" s="27"/>
      <c r="P47" s="27"/>
      <c r="Q47" s="27"/>
      <c r="R47" s="27"/>
      <c r="S47" s="27"/>
      <c r="T47" s="27"/>
      <c r="U47" s="27"/>
    </row>
    <row r="48" spans="1:21" x14ac:dyDescent="0.25">
      <c r="A48" s="27"/>
      <c r="B48" s="27"/>
      <c r="C48" s="27"/>
      <c r="D48" s="27"/>
      <c r="E48" s="27"/>
      <c r="F48" s="27"/>
      <c r="G48" s="27"/>
      <c r="H48" s="27"/>
      <c r="I48" s="27"/>
      <c r="J48" s="27"/>
      <c r="K48" s="27"/>
      <c r="L48" s="27"/>
      <c r="M48" s="27"/>
      <c r="N48" s="27"/>
      <c r="O48" s="27"/>
      <c r="P48" s="27"/>
      <c r="Q48" s="27"/>
      <c r="R48" s="27"/>
      <c r="S48" s="27"/>
      <c r="T48" s="27"/>
      <c r="U48" s="27"/>
    </row>
    <row r="49" spans="1:21" x14ac:dyDescent="0.25">
      <c r="A49" s="27"/>
      <c r="B49" s="27"/>
      <c r="C49" s="27"/>
      <c r="D49" s="27"/>
      <c r="E49" s="27"/>
      <c r="F49" s="27"/>
      <c r="G49" s="27"/>
      <c r="H49" s="27"/>
      <c r="I49" s="27"/>
      <c r="J49" s="27"/>
      <c r="K49" s="27"/>
      <c r="L49" s="27"/>
      <c r="M49" s="27"/>
      <c r="N49" s="27"/>
      <c r="O49" s="27"/>
      <c r="P49" s="27"/>
      <c r="Q49" s="27"/>
      <c r="R49" s="27"/>
      <c r="S49" s="27"/>
      <c r="T49" s="27"/>
      <c r="U49" s="27"/>
    </row>
    <row r="50" spans="1:21" x14ac:dyDescent="0.25">
      <c r="A50" s="27"/>
      <c r="B50" s="27"/>
      <c r="C50" s="27"/>
      <c r="D50" s="27"/>
      <c r="E50" s="27"/>
      <c r="F50" s="27"/>
      <c r="G50" s="27"/>
      <c r="H50" s="27"/>
      <c r="I50" s="27"/>
      <c r="J50" s="27"/>
      <c r="K50" s="27"/>
      <c r="L50" s="27"/>
      <c r="M50" s="27"/>
      <c r="N50" s="27"/>
      <c r="O50" s="27"/>
      <c r="P50" s="27"/>
      <c r="Q50" s="27"/>
      <c r="R50" s="27"/>
      <c r="S50" s="27"/>
      <c r="T50" s="27"/>
      <c r="U50" s="27"/>
    </row>
    <row r="51" spans="1:21" x14ac:dyDescent="0.25">
      <c r="A51" s="27"/>
      <c r="B51" s="27"/>
      <c r="C51" s="27"/>
      <c r="D51" s="27"/>
      <c r="E51" s="27"/>
      <c r="F51" s="27"/>
      <c r="G51" s="27"/>
      <c r="H51" s="27"/>
      <c r="I51" s="27"/>
      <c r="J51" s="27"/>
      <c r="K51" s="27"/>
      <c r="L51" s="27"/>
      <c r="M51" s="27"/>
      <c r="N51" s="27"/>
      <c r="O51" s="27"/>
      <c r="P51" s="27"/>
      <c r="Q51" s="27"/>
      <c r="R51" s="27"/>
      <c r="S51" s="27"/>
      <c r="T51" s="27"/>
      <c r="U51" s="27"/>
    </row>
    <row r="52" spans="1:21" x14ac:dyDescent="0.25">
      <c r="A52" s="27"/>
      <c r="B52" s="27"/>
      <c r="C52" s="27"/>
      <c r="D52" s="27"/>
      <c r="E52" s="27"/>
      <c r="F52" s="27"/>
      <c r="G52" s="27"/>
      <c r="H52" s="27"/>
      <c r="I52" s="27"/>
      <c r="J52" s="27"/>
      <c r="K52" s="27"/>
      <c r="L52" s="27"/>
      <c r="M52" s="27"/>
      <c r="N52" s="27"/>
      <c r="O52" s="27"/>
      <c r="P52" s="27"/>
      <c r="Q52" s="27"/>
      <c r="R52" s="27"/>
      <c r="S52" s="27"/>
      <c r="T52" s="27"/>
      <c r="U52" s="27"/>
    </row>
    <row r="53" spans="1:21" x14ac:dyDescent="0.25">
      <c r="A53" s="27"/>
      <c r="B53" s="27"/>
      <c r="C53" s="27"/>
      <c r="D53" s="27"/>
      <c r="E53" s="27"/>
      <c r="F53" s="27"/>
      <c r="G53" s="27"/>
      <c r="H53" s="27"/>
      <c r="I53" s="27"/>
      <c r="J53" s="27"/>
      <c r="K53" s="27"/>
      <c r="L53" s="27"/>
      <c r="M53" s="27"/>
      <c r="N53" s="27"/>
      <c r="O53" s="27"/>
      <c r="P53" s="27"/>
      <c r="Q53" s="27"/>
      <c r="R53" s="27"/>
      <c r="S53" s="27"/>
      <c r="T53" s="27"/>
      <c r="U53" s="27"/>
    </row>
    <row r="54" spans="1:21" x14ac:dyDescent="0.25">
      <c r="A54" s="27"/>
      <c r="B54" s="27"/>
      <c r="C54" s="27"/>
      <c r="D54" s="27"/>
      <c r="E54" s="27"/>
      <c r="F54" s="27"/>
      <c r="G54" s="27"/>
      <c r="H54" s="27"/>
      <c r="I54" s="27"/>
      <c r="J54" s="27"/>
      <c r="K54" s="27"/>
      <c r="L54" s="27"/>
      <c r="M54" s="27"/>
      <c r="N54" s="27"/>
      <c r="O54" s="27"/>
      <c r="P54" s="27"/>
      <c r="Q54" s="27"/>
      <c r="R54" s="27"/>
      <c r="S54" s="27"/>
      <c r="T54" s="27"/>
      <c r="U54" s="27"/>
    </row>
    <row r="55" spans="1:21" x14ac:dyDescent="0.25">
      <c r="A55" s="27"/>
      <c r="B55" s="27"/>
      <c r="C55" s="27"/>
      <c r="D55" s="27"/>
      <c r="E55" s="27"/>
      <c r="F55" s="27"/>
      <c r="G55" s="27"/>
      <c r="H55" s="27"/>
      <c r="I55" s="27"/>
      <c r="J55" s="27"/>
      <c r="K55" s="27"/>
      <c r="L55" s="27"/>
      <c r="M55" s="27"/>
      <c r="N55" s="27"/>
      <c r="O55" s="27"/>
      <c r="P55" s="27"/>
      <c r="Q55" s="27"/>
      <c r="R55" s="27"/>
      <c r="S55" s="27"/>
      <c r="T55" s="27"/>
      <c r="U55" s="27"/>
    </row>
    <row r="56" spans="1:21" x14ac:dyDescent="0.25">
      <c r="A56" s="27"/>
      <c r="B56" s="27"/>
      <c r="C56" s="27"/>
      <c r="D56" s="27"/>
      <c r="E56" s="27"/>
      <c r="F56" s="27"/>
      <c r="G56" s="27"/>
      <c r="H56" s="27"/>
      <c r="I56" s="27"/>
      <c r="J56" s="27"/>
      <c r="K56" s="27"/>
      <c r="L56" s="27"/>
      <c r="M56" s="27"/>
      <c r="N56" s="27"/>
      <c r="O56" s="27"/>
      <c r="P56" s="27"/>
      <c r="Q56" s="27"/>
      <c r="R56" s="27"/>
      <c r="S56" s="27"/>
      <c r="T56" s="27"/>
      <c r="U56" s="27"/>
    </row>
    <row r="57" spans="1:21" x14ac:dyDescent="0.25">
      <c r="A57" s="27"/>
      <c r="B57" s="27"/>
      <c r="C57" s="27"/>
      <c r="D57" s="27"/>
      <c r="E57" s="27"/>
      <c r="F57" s="27"/>
      <c r="G57" s="27"/>
      <c r="H57" s="27"/>
      <c r="I57" s="27"/>
      <c r="J57" s="27"/>
      <c r="K57" s="27"/>
      <c r="L57" s="27"/>
      <c r="M57" s="27"/>
      <c r="N57" s="27"/>
      <c r="O57" s="27"/>
      <c r="P57" s="27"/>
      <c r="Q57" s="27"/>
      <c r="R57" s="27"/>
      <c r="S57" s="27"/>
      <c r="T57" s="27"/>
      <c r="U57" s="27"/>
    </row>
    <row r="58" spans="1:21" x14ac:dyDescent="0.25">
      <c r="A58" s="27"/>
      <c r="B58" s="27"/>
      <c r="C58" s="27"/>
      <c r="D58" s="27"/>
      <c r="E58" s="27"/>
      <c r="F58" s="27"/>
      <c r="G58" s="27"/>
      <c r="H58" s="27"/>
      <c r="I58" s="27"/>
      <c r="J58" s="27"/>
      <c r="K58" s="27"/>
      <c r="L58" s="27"/>
      <c r="M58" s="27"/>
      <c r="N58" s="27"/>
      <c r="O58" s="27"/>
      <c r="P58" s="27"/>
      <c r="Q58" s="27"/>
      <c r="R58" s="27"/>
      <c r="S58" s="27"/>
      <c r="T58" s="27"/>
      <c r="U58" s="27"/>
    </row>
    <row r="59" spans="1:21" x14ac:dyDescent="0.25">
      <c r="A59" s="27"/>
      <c r="B59" s="27"/>
      <c r="C59" s="27"/>
      <c r="D59" s="27"/>
      <c r="E59" s="27"/>
      <c r="F59" s="27"/>
      <c r="G59" s="27"/>
      <c r="H59" s="27"/>
      <c r="I59" s="27"/>
      <c r="J59" s="27"/>
      <c r="K59" s="27"/>
      <c r="L59" s="27"/>
      <c r="M59" s="27"/>
      <c r="N59" s="27"/>
      <c r="O59" s="27"/>
      <c r="P59" s="27"/>
      <c r="Q59" s="27"/>
      <c r="R59" s="27"/>
      <c r="S59" s="27"/>
      <c r="T59" s="27"/>
      <c r="U59" s="27"/>
    </row>
    <row r="60" spans="1:21" x14ac:dyDescent="0.25">
      <c r="A60" s="27"/>
      <c r="B60" s="27"/>
      <c r="C60" s="27"/>
      <c r="D60" s="27"/>
      <c r="E60" s="27"/>
      <c r="F60" s="27"/>
      <c r="G60" s="27"/>
      <c r="H60" s="27"/>
      <c r="I60" s="27"/>
      <c r="J60" s="27"/>
      <c r="K60" s="27"/>
      <c r="L60" s="27"/>
      <c r="M60" s="27"/>
      <c r="N60" s="27"/>
      <c r="O60" s="27"/>
      <c r="P60" s="27"/>
      <c r="Q60" s="27"/>
      <c r="R60" s="27"/>
      <c r="S60" s="27"/>
      <c r="T60" s="27"/>
      <c r="U60" s="27"/>
    </row>
    <row r="61" spans="1:21" x14ac:dyDescent="0.25">
      <c r="A61" s="27"/>
      <c r="B61" s="27"/>
      <c r="C61" s="27"/>
      <c r="D61" s="27"/>
      <c r="E61" s="27"/>
      <c r="F61" s="27"/>
      <c r="G61" s="27"/>
      <c r="H61" s="27"/>
      <c r="I61" s="27"/>
      <c r="J61" s="27"/>
      <c r="K61" s="27"/>
      <c r="L61" s="27"/>
      <c r="M61" s="27"/>
      <c r="N61" s="27"/>
      <c r="O61" s="27"/>
      <c r="P61" s="27"/>
      <c r="Q61" s="27"/>
      <c r="R61" s="27"/>
      <c r="S61" s="27"/>
      <c r="T61" s="27"/>
      <c r="U61" s="27"/>
    </row>
    <row r="62" spans="1:21" x14ac:dyDescent="0.25">
      <c r="A62" s="27"/>
      <c r="B62" s="27"/>
      <c r="C62" s="27"/>
      <c r="D62" s="27"/>
      <c r="E62" s="27"/>
      <c r="F62" s="27"/>
      <c r="G62" s="27"/>
      <c r="H62" s="27"/>
      <c r="I62" s="27"/>
      <c r="J62" s="27"/>
      <c r="K62" s="27"/>
      <c r="L62" s="27"/>
      <c r="M62" s="27"/>
      <c r="N62" s="27"/>
      <c r="O62" s="27"/>
      <c r="P62" s="27"/>
      <c r="Q62" s="27"/>
      <c r="R62" s="27"/>
      <c r="S62" s="27"/>
      <c r="T62" s="27"/>
      <c r="U62" s="27"/>
    </row>
    <row r="63" spans="1:21" x14ac:dyDescent="0.25">
      <c r="A63" s="27"/>
      <c r="B63" s="27"/>
      <c r="C63" s="27"/>
      <c r="D63" s="27"/>
      <c r="E63" s="27"/>
      <c r="F63" s="27"/>
      <c r="G63" s="27"/>
      <c r="H63" s="27"/>
      <c r="I63" s="27"/>
      <c r="J63" s="27"/>
      <c r="K63" s="27"/>
      <c r="L63" s="27"/>
      <c r="M63" s="27"/>
      <c r="N63" s="27"/>
      <c r="O63" s="27"/>
      <c r="P63" s="27"/>
      <c r="Q63" s="27"/>
      <c r="R63" s="27"/>
      <c r="S63" s="27"/>
      <c r="T63" s="27"/>
      <c r="U63" s="27"/>
    </row>
    <row r="64" spans="1:21" x14ac:dyDescent="0.25">
      <c r="A64" s="27"/>
      <c r="B64" s="27"/>
      <c r="C64" s="27"/>
      <c r="D64" s="27"/>
      <c r="E64" s="27"/>
      <c r="F64" s="27"/>
      <c r="G64" s="27"/>
      <c r="H64" s="27"/>
      <c r="I64" s="27"/>
      <c r="J64" s="27"/>
      <c r="K64" s="27"/>
      <c r="L64" s="27"/>
      <c r="M64" s="27"/>
      <c r="N64" s="27"/>
      <c r="O64" s="27"/>
      <c r="P64" s="27"/>
      <c r="Q64" s="27"/>
      <c r="R64" s="27"/>
      <c r="S64" s="27"/>
      <c r="T64" s="27"/>
      <c r="U64" s="27"/>
    </row>
    <row r="65" spans="1:21" x14ac:dyDescent="0.25">
      <c r="A65" s="27"/>
      <c r="B65" s="27"/>
      <c r="C65" s="27"/>
      <c r="D65" s="27"/>
      <c r="E65" s="27"/>
      <c r="F65" s="27"/>
      <c r="G65" s="27"/>
      <c r="H65" s="27"/>
      <c r="I65" s="27"/>
      <c r="J65" s="27"/>
      <c r="K65" s="27"/>
      <c r="L65" s="27"/>
      <c r="M65" s="27"/>
      <c r="N65" s="27"/>
      <c r="O65" s="27"/>
      <c r="P65" s="27"/>
      <c r="Q65" s="27"/>
      <c r="R65" s="27"/>
      <c r="S65" s="27"/>
      <c r="T65" s="27"/>
      <c r="U65" s="27"/>
    </row>
    <row r="66" spans="1:21" x14ac:dyDescent="0.25">
      <c r="A66" s="27"/>
      <c r="B66" s="27"/>
      <c r="C66" s="27"/>
      <c r="D66" s="27"/>
      <c r="E66" s="27"/>
      <c r="F66" s="27"/>
      <c r="G66" s="27"/>
      <c r="H66" s="27"/>
      <c r="I66" s="27"/>
      <c r="J66" s="27"/>
      <c r="K66" s="27"/>
      <c r="L66" s="27"/>
      <c r="M66" s="27"/>
      <c r="N66" s="27"/>
      <c r="O66" s="27"/>
      <c r="P66" s="27"/>
      <c r="Q66" s="27"/>
      <c r="R66" s="27"/>
      <c r="S66" s="27"/>
      <c r="T66" s="27"/>
      <c r="U66" s="27"/>
    </row>
    <row r="67" spans="1:21" x14ac:dyDescent="0.25">
      <c r="A67" s="27"/>
      <c r="B67" s="27"/>
      <c r="C67" s="27"/>
      <c r="D67" s="27"/>
      <c r="E67" s="27"/>
      <c r="F67" s="27"/>
      <c r="G67" s="27"/>
      <c r="H67" s="27"/>
      <c r="I67" s="27"/>
      <c r="J67" s="27"/>
      <c r="K67" s="27"/>
      <c r="L67" s="27"/>
      <c r="M67" s="27"/>
      <c r="N67" s="27"/>
      <c r="O67" s="27"/>
      <c r="P67" s="27"/>
      <c r="Q67" s="27"/>
      <c r="R67" s="27"/>
      <c r="S67" s="27"/>
      <c r="T67" s="27"/>
      <c r="U67" s="27"/>
    </row>
    <row r="68" spans="1:21" x14ac:dyDescent="0.25">
      <c r="A68" s="27"/>
      <c r="B68" s="27"/>
      <c r="C68" s="27"/>
      <c r="D68" s="27"/>
      <c r="E68" s="27"/>
      <c r="F68" s="27"/>
      <c r="G68" s="27"/>
      <c r="H68" s="27"/>
      <c r="I68" s="27"/>
      <c r="J68" s="27"/>
      <c r="K68" s="27"/>
      <c r="L68" s="27"/>
      <c r="M68" s="27"/>
      <c r="N68" s="27"/>
      <c r="O68" s="27"/>
      <c r="P68" s="27"/>
      <c r="Q68" s="27"/>
      <c r="R68" s="27"/>
      <c r="S68" s="27"/>
      <c r="T68" s="27"/>
      <c r="U68" s="27"/>
    </row>
    <row r="69" spans="1:21" x14ac:dyDescent="0.25">
      <c r="A69" s="27"/>
      <c r="B69" s="27"/>
      <c r="C69" s="27"/>
      <c r="D69" s="27"/>
      <c r="E69" s="27"/>
      <c r="F69" s="27"/>
      <c r="G69" s="27"/>
      <c r="H69" s="27"/>
      <c r="I69" s="27"/>
      <c r="J69" s="27"/>
      <c r="K69" s="27"/>
      <c r="L69" s="27"/>
      <c r="M69" s="27"/>
      <c r="N69" s="27"/>
      <c r="O69" s="27"/>
      <c r="P69" s="27"/>
      <c r="Q69" s="27"/>
      <c r="R69" s="27"/>
      <c r="S69" s="27"/>
      <c r="T69" s="27"/>
      <c r="U69" s="27"/>
    </row>
    <row r="70" spans="1:21" x14ac:dyDescent="0.25">
      <c r="A70" s="27"/>
      <c r="B70" s="27"/>
      <c r="C70" s="27"/>
      <c r="D70" s="27"/>
      <c r="E70" s="27"/>
      <c r="F70" s="27"/>
      <c r="G70" s="27"/>
      <c r="H70" s="27"/>
      <c r="I70" s="27"/>
      <c r="J70" s="27"/>
      <c r="K70" s="27"/>
      <c r="L70" s="27"/>
      <c r="M70" s="27"/>
      <c r="N70" s="27"/>
      <c r="O70" s="27"/>
      <c r="P70" s="27"/>
      <c r="Q70" s="27"/>
      <c r="R70" s="27"/>
      <c r="S70" s="27"/>
      <c r="T70" s="27"/>
      <c r="U70" s="27"/>
    </row>
    <row r="71" spans="1:21" x14ac:dyDescent="0.25">
      <c r="A71" s="27"/>
      <c r="B71" s="27"/>
      <c r="C71" s="27"/>
      <c r="D71" s="27"/>
      <c r="E71" s="27"/>
      <c r="F71" s="27"/>
      <c r="G71" s="27"/>
      <c r="H71" s="27"/>
      <c r="I71" s="27"/>
      <c r="J71" s="27"/>
      <c r="K71" s="27"/>
      <c r="L71" s="27"/>
      <c r="M71" s="27"/>
      <c r="N71" s="27"/>
      <c r="O71" s="27"/>
      <c r="P71" s="27"/>
      <c r="Q71" s="27"/>
      <c r="R71" s="27"/>
      <c r="S71" s="27"/>
      <c r="T71" s="27"/>
      <c r="U71" s="27"/>
    </row>
    <row r="72" spans="1:21" x14ac:dyDescent="0.25">
      <c r="A72" s="27"/>
      <c r="B72" s="27"/>
      <c r="C72" s="27"/>
      <c r="D72" s="27"/>
      <c r="E72" s="27"/>
      <c r="F72" s="27"/>
      <c r="G72" s="27"/>
      <c r="H72" s="27"/>
      <c r="I72" s="27"/>
      <c r="J72" s="27"/>
      <c r="K72" s="27"/>
      <c r="L72" s="27"/>
      <c r="M72" s="27"/>
      <c r="N72" s="27"/>
      <c r="O72" s="27"/>
      <c r="P72" s="27"/>
      <c r="Q72" s="27"/>
      <c r="R72" s="27"/>
      <c r="S72" s="27"/>
      <c r="T72" s="27"/>
      <c r="U72" s="27"/>
    </row>
    <row r="73" spans="1:21" x14ac:dyDescent="0.25">
      <c r="A73" s="27"/>
      <c r="B73" s="27"/>
      <c r="C73" s="27"/>
      <c r="D73" s="27"/>
      <c r="E73" s="27"/>
      <c r="F73" s="27"/>
      <c r="G73" s="27"/>
      <c r="H73" s="27"/>
      <c r="I73" s="27"/>
      <c r="J73" s="27"/>
      <c r="K73" s="27"/>
      <c r="L73" s="27"/>
      <c r="M73" s="27"/>
      <c r="N73" s="27"/>
      <c r="O73" s="27"/>
      <c r="P73" s="27"/>
      <c r="Q73" s="27"/>
      <c r="R73" s="27"/>
      <c r="S73" s="27"/>
      <c r="T73" s="27"/>
      <c r="U73" s="27"/>
    </row>
    <row r="74" spans="1:21" x14ac:dyDescent="0.25">
      <c r="A74" s="27"/>
      <c r="B74" s="27"/>
      <c r="C74" s="27"/>
      <c r="D74" s="27"/>
      <c r="E74" s="27"/>
      <c r="F74" s="27"/>
      <c r="G74" s="27"/>
      <c r="H74" s="27"/>
      <c r="I74" s="27"/>
      <c r="J74" s="27"/>
      <c r="K74" s="27"/>
      <c r="L74" s="27"/>
      <c r="M74" s="27"/>
      <c r="N74" s="27"/>
      <c r="O74" s="27"/>
      <c r="P74" s="27"/>
      <c r="Q74" s="27"/>
      <c r="R74" s="27"/>
      <c r="S74" s="27"/>
      <c r="T74" s="27"/>
      <c r="U74" s="27"/>
    </row>
    <row r="75" spans="1:21" x14ac:dyDescent="0.25">
      <c r="A75" s="27"/>
      <c r="B75" s="27"/>
      <c r="C75" s="27"/>
      <c r="D75" s="27"/>
      <c r="E75" s="27"/>
      <c r="F75" s="27"/>
      <c r="G75" s="27"/>
      <c r="H75" s="27"/>
      <c r="I75" s="27"/>
      <c r="J75" s="27"/>
      <c r="K75" s="27"/>
      <c r="L75" s="27"/>
      <c r="M75" s="27"/>
      <c r="N75" s="27"/>
      <c r="O75" s="27"/>
      <c r="P75" s="27"/>
      <c r="Q75" s="27"/>
      <c r="R75" s="27"/>
      <c r="S75" s="27"/>
      <c r="T75" s="27"/>
      <c r="U75" s="27"/>
    </row>
    <row r="76" spans="1:21" x14ac:dyDescent="0.25">
      <c r="A76" s="27"/>
      <c r="B76" s="27"/>
      <c r="C76" s="27"/>
      <c r="D76" s="27"/>
      <c r="E76" s="27"/>
      <c r="F76" s="27"/>
      <c r="G76" s="27"/>
      <c r="H76" s="27"/>
      <c r="I76" s="27"/>
      <c r="J76" s="27"/>
      <c r="K76" s="27"/>
      <c r="L76" s="27"/>
      <c r="M76" s="27"/>
      <c r="N76" s="27"/>
      <c r="O76" s="27"/>
      <c r="P76" s="27"/>
      <c r="Q76" s="27"/>
      <c r="R76" s="27"/>
      <c r="S76" s="27"/>
      <c r="T76" s="27"/>
      <c r="U76" s="27"/>
    </row>
    <row r="77" spans="1:21" x14ac:dyDescent="0.25">
      <c r="A77" s="27"/>
      <c r="B77" s="27"/>
      <c r="C77" s="27"/>
      <c r="D77" s="27"/>
      <c r="E77" s="27"/>
      <c r="F77" s="27"/>
      <c r="G77" s="27"/>
      <c r="H77" s="27"/>
      <c r="I77" s="27"/>
      <c r="J77" s="27"/>
      <c r="K77" s="27"/>
      <c r="L77" s="27"/>
      <c r="M77" s="27"/>
      <c r="N77" s="27"/>
      <c r="O77" s="27"/>
      <c r="P77" s="27"/>
      <c r="Q77" s="27"/>
      <c r="R77" s="27"/>
      <c r="S77" s="27"/>
      <c r="T77" s="27"/>
      <c r="U77" s="27"/>
    </row>
    <row r="78" spans="1:21" x14ac:dyDescent="0.25">
      <c r="A78" s="27"/>
      <c r="B78" s="27"/>
      <c r="C78" s="27"/>
      <c r="D78" s="27"/>
      <c r="E78" s="27"/>
      <c r="F78" s="27"/>
      <c r="G78" s="27"/>
      <c r="H78" s="27"/>
      <c r="I78" s="27"/>
      <c r="J78" s="27"/>
      <c r="K78" s="27"/>
      <c r="L78" s="27"/>
      <c r="M78" s="27"/>
      <c r="N78" s="27"/>
      <c r="O78" s="27"/>
      <c r="P78" s="27"/>
      <c r="Q78" s="27"/>
      <c r="R78" s="27"/>
      <c r="S78" s="27"/>
      <c r="T78" s="27"/>
      <c r="U78" s="27"/>
    </row>
    <row r="79" spans="1:21" x14ac:dyDescent="0.25">
      <c r="A79" s="27"/>
      <c r="B79" s="27"/>
      <c r="C79" s="27"/>
      <c r="D79" s="27"/>
      <c r="E79" s="27"/>
      <c r="F79" s="27"/>
      <c r="G79" s="27"/>
      <c r="H79" s="27"/>
      <c r="I79" s="27"/>
      <c r="J79" s="27"/>
      <c r="K79" s="27"/>
      <c r="L79" s="27"/>
      <c r="M79" s="27"/>
      <c r="N79" s="27"/>
      <c r="O79" s="27"/>
      <c r="P79" s="27"/>
      <c r="Q79" s="27"/>
      <c r="R79" s="27"/>
      <c r="S79" s="27"/>
      <c r="T79" s="27"/>
      <c r="U79" s="27"/>
    </row>
    <row r="80" spans="1:21" x14ac:dyDescent="0.25">
      <c r="A80" s="27"/>
      <c r="B80" s="27"/>
      <c r="C80" s="27"/>
      <c r="D80" s="27"/>
      <c r="E80" s="27"/>
      <c r="F80" s="27"/>
      <c r="G80" s="27"/>
      <c r="H80" s="27"/>
      <c r="I80" s="27"/>
      <c r="J80" s="27"/>
      <c r="K80" s="27"/>
      <c r="L80" s="27"/>
      <c r="M80" s="27"/>
      <c r="N80" s="27"/>
      <c r="O80" s="27"/>
      <c r="P80" s="27"/>
      <c r="Q80" s="27"/>
      <c r="R80" s="27"/>
      <c r="S80" s="27"/>
      <c r="T80" s="27"/>
      <c r="U80" s="27"/>
    </row>
    <row r="81" spans="1:21" x14ac:dyDescent="0.25">
      <c r="A81" s="27"/>
      <c r="B81" s="27"/>
      <c r="C81" s="27"/>
      <c r="D81" s="27"/>
      <c r="E81" s="27"/>
      <c r="F81" s="27"/>
      <c r="G81" s="27"/>
      <c r="H81" s="27"/>
      <c r="I81" s="27"/>
      <c r="J81" s="27"/>
      <c r="K81" s="27"/>
      <c r="L81" s="27"/>
      <c r="M81" s="27"/>
      <c r="N81" s="27"/>
      <c r="O81" s="27"/>
      <c r="P81" s="27"/>
      <c r="Q81" s="27"/>
      <c r="R81" s="27"/>
      <c r="S81" s="27"/>
      <c r="T81" s="27"/>
      <c r="U81" s="27"/>
    </row>
    <row r="82" spans="1:21" x14ac:dyDescent="0.25">
      <c r="A82" s="27"/>
      <c r="B82" s="27"/>
      <c r="C82" s="27"/>
      <c r="D82" s="27"/>
      <c r="E82" s="27"/>
      <c r="F82" s="27"/>
      <c r="G82" s="27"/>
      <c r="H82" s="27"/>
      <c r="I82" s="27"/>
      <c r="J82" s="27"/>
      <c r="K82" s="27"/>
      <c r="L82" s="27"/>
      <c r="M82" s="27"/>
      <c r="N82" s="27"/>
      <c r="O82" s="27"/>
      <c r="P82" s="27"/>
      <c r="Q82" s="27"/>
      <c r="R82" s="27"/>
      <c r="S82" s="27"/>
      <c r="T82" s="27"/>
      <c r="U82" s="27"/>
    </row>
    <row r="83" spans="1:21" x14ac:dyDescent="0.25">
      <c r="A83" s="27"/>
      <c r="B83" s="27"/>
      <c r="C83" s="27"/>
      <c r="D83" s="27"/>
      <c r="E83" s="27"/>
      <c r="F83" s="27"/>
      <c r="G83" s="27"/>
      <c r="H83" s="27"/>
      <c r="I83" s="27"/>
      <c r="J83" s="27"/>
      <c r="K83" s="27"/>
      <c r="L83" s="27"/>
      <c r="M83" s="27"/>
      <c r="N83" s="27"/>
      <c r="O83" s="27"/>
      <c r="P83" s="27"/>
      <c r="Q83" s="27"/>
      <c r="R83" s="27"/>
      <c r="S83" s="27"/>
      <c r="T83" s="27"/>
      <c r="U83" s="27"/>
    </row>
    <row r="84" spans="1:21" x14ac:dyDescent="0.25">
      <c r="A84" s="27"/>
      <c r="B84" s="27"/>
      <c r="C84" s="27"/>
      <c r="D84" s="27"/>
      <c r="E84" s="27"/>
      <c r="F84" s="27"/>
      <c r="G84" s="27"/>
      <c r="H84" s="27"/>
      <c r="I84" s="27"/>
      <c r="J84" s="27"/>
      <c r="K84" s="27"/>
      <c r="L84" s="27"/>
      <c r="M84" s="27"/>
      <c r="N84" s="27"/>
      <c r="O84" s="27"/>
      <c r="P84" s="27"/>
      <c r="Q84" s="27"/>
      <c r="R84" s="27"/>
      <c r="S84" s="27"/>
      <c r="T84" s="27"/>
      <c r="U84" s="27"/>
    </row>
    <row r="85" spans="1:21" x14ac:dyDescent="0.25">
      <c r="A85" s="27"/>
      <c r="B85" s="27"/>
      <c r="C85" s="27"/>
      <c r="D85" s="27"/>
      <c r="E85" s="27"/>
      <c r="F85" s="27"/>
      <c r="G85" s="27"/>
      <c r="H85" s="27"/>
      <c r="I85" s="27"/>
      <c r="J85" s="27"/>
      <c r="K85" s="27"/>
      <c r="L85" s="27"/>
      <c r="M85" s="27"/>
      <c r="N85" s="27"/>
      <c r="O85" s="27"/>
      <c r="P85" s="27"/>
      <c r="Q85" s="27"/>
      <c r="R85" s="27"/>
      <c r="S85" s="27"/>
      <c r="T85" s="27"/>
      <c r="U85" s="27"/>
    </row>
    <row r="86" spans="1:21" x14ac:dyDescent="0.25">
      <c r="A86" s="27"/>
      <c r="B86" s="27"/>
      <c r="C86" s="27"/>
      <c r="D86" s="27"/>
      <c r="E86" s="27"/>
      <c r="F86" s="27"/>
      <c r="G86" s="27"/>
      <c r="H86" s="27"/>
      <c r="I86" s="27"/>
      <c r="J86" s="27"/>
      <c r="K86" s="27"/>
      <c r="L86" s="27"/>
      <c r="M86" s="27"/>
      <c r="N86" s="27"/>
      <c r="O86" s="27"/>
      <c r="P86" s="27"/>
      <c r="Q86" s="27"/>
      <c r="R86" s="27"/>
      <c r="S86" s="27"/>
      <c r="T86" s="27"/>
      <c r="U86" s="27"/>
    </row>
    <row r="87" spans="1:21" x14ac:dyDescent="0.25">
      <c r="A87" s="27"/>
      <c r="B87" s="27"/>
      <c r="C87" s="27"/>
      <c r="D87" s="27"/>
      <c r="E87" s="27"/>
      <c r="F87" s="27"/>
      <c r="G87" s="27"/>
      <c r="H87" s="27"/>
      <c r="I87" s="27"/>
      <c r="J87" s="27"/>
      <c r="K87" s="27"/>
      <c r="L87" s="27"/>
      <c r="M87" s="27"/>
      <c r="N87" s="27"/>
      <c r="O87" s="27"/>
      <c r="P87" s="27"/>
      <c r="Q87" s="27"/>
      <c r="R87" s="27"/>
      <c r="S87" s="27"/>
      <c r="T87" s="27"/>
      <c r="U87" s="27"/>
    </row>
    <row r="88" spans="1:21" x14ac:dyDescent="0.25">
      <c r="A88" s="27"/>
      <c r="B88" s="27"/>
      <c r="C88" s="27"/>
      <c r="D88" s="27"/>
      <c r="E88" s="27"/>
      <c r="F88" s="27"/>
      <c r="G88" s="27"/>
      <c r="H88" s="27"/>
      <c r="I88" s="27"/>
      <c r="J88" s="27"/>
      <c r="K88" s="27"/>
      <c r="L88" s="27"/>
      <c r="M88" s="27"/>
      <c r="N88" s="27"/>
      <c r="O88" s="27"/>
      <c r="P88" s="27"/>
      <c r="Q88" s="27"/>
      <c r="R88" s="27"/>
      <c r="S88" s="27"/>
      <c r="T88" s="27"/>
      <c r="U88" s="27"/>
    </row>
    <row r="89" spans="1:21" x14ac:dyDescent="0.25">
      <c r="A89" s="27"/>
      <c r="B89" s="27"/>
      <c r="C89" s="27"/>
      <c r="D89" s="27"/>
      <c r="E89" s="27"/>
      <c r="F89" s="27"/>
      <c r="G89" s="27"/>
      <c r="H89" s="27"/>
      <c r="I89" s="27"/>
      <c r="J89" s="27"/>
      <c r="K89" s="27"/>
      <c r="L89" s="27"/>
      <c r="M89" s="27"/>
      <c r="N89" s="27"/>
      <c r="O89" s="27"/>
      <c r="P89" s="27"/>
      <c r="Q89" s="27"/>
      <c r="R89" s="27"/>
      <c r="S89" s="27"/>
      <c r="T89" s="27"/>
      <c r="U89" s="27"/>
    </row>
    <row r="90" spans="1:21" x14ac:dyDescent="0.25">
      <c r="A90" s="27"/>
      <c r="B90" s="27"/>
      <c r="C90" s="27"/>
      <c r="D90" s="27"/>
      <c r="E90" s="27"/>
      <c r="F90" s="27"/>
      <c r="G90" s="27"/>
      <c r="H90" s="27"/>
      <c r="I90" s="27"/>
      <c r="J90" s="27"/>
      <c r="K90" s="27"/>
      <c r="L90" s="27"/>
      <c r="M90" s="27"/>
      <c r="N90" s="27"/>
      <c r="O90" s="27"/>
      <c r="P90" s="27"/>
      <c r="Q90" s="27"/>
      <c r="R90" s="27"/>
      <c r="S90" s="27"/>
      <c r="T90" s="27"/>
      <c r="U90" s="27"/>
    </row>
    <row r="91" spans="1:21" x14ac:dyDescent="0.25">
      <c r="A91" s="27"/>
      <c r="B91" s="27"/>
      <c r="C91" s="27"/>
      <c r="D91" s="27"/>
      <c r="E91" s="27"/>
      <c r="F91" s="27"/>
      <c r="G91" s="27"/>
      <c r="H91" s="27"/>
      <c r="I91" s="27"/>
      <c r="J91" s="27"/>
      <c r="K91" s="27"/>
      <c r="L91" s="27"/>
      <c r="M91" s="27"/>
      <c r="N91" s="27"/>
      <c r="O91" s="27"/>
      <c r="P91" s="27"/>
      <c r="Q91" s="27"/>
      <c r="R91" s="27"/>
      <c r="S91" s="27"/>
      <c r="T91" s="27"/>
      <c r="U91" s="27"/>
    </row>
    <row r="92" spans="1:21" x14ac:dyDescent="0.25">
      <c r="A92" s="27"/>
      <c r="B92" s="27"/>
      <c r="C92" s="27"/>
      <c r="D92" s="27"/>
      <c r="E92" s="27"/>
      <c r="F92" s="27"/>
      <c r="G92" s="27"/>
      <c r="H92" s="27"/>
      <c r="I92" s="27"/>
      <c r="J92" s="27"/>
      <c r="K92" s="27"/>
      <c r="L92" s="27"/>
      <c r="M92" s="27"/>
      <c r="N92" s="27"/>
      <c r="O92" s="27"/>
      <c r="P92" s="27"/>
      <c r="Q92" s="27"/>
      <c r="R92" s="27"/>
      <c r="S92" s="27"/>
      <c r="T92" s="27"/>
      <c r="U92" s="27"/>
    </row>
    <row r="93" spans="1:21" x14ac:dyDescent="0.25">
      <c r="A93" s="27"/>
      <c r="B93" s="27"/>
      <c r="C93" s="27"/>
      <c r="D93" s="27"/>
      <c r="E93" s="27"/>
      <c r="F93" s="27"/>
      <c r="G93" s="27"/>
      <c r="H93" s="27"/>
      <c r="I93" s="27"/>
      <c r="J93" s="27"/>
      <c r="K93" s="27"/>
      <c r="L93" s="27"/>
      <c r="M93" s="27"/>
      <c r="N93" s="27"/>
      <c r="O93" s="27"/>
      <c r="P93" s="27"/>
      <c r="Q93" s="27"/>
      <c r="R93" s="27"/>
      <c r="S93" s="27"/>
      <c r="T93" s="27"/>
      <c r="U93" s="27"/>
    </row>
    <row r="94" spans="1:21" x14ac:dyDescent="0.25">
      <c r="A94" s="27"/>
      <c r="B94" s="27"/>
      <c r="C94" s="27"/>
      <c r="D94" s="27"/>
      <c r="E94" s="27"/>
      <c r="F94" s="27"/>
      <c r="G94" s="27"/>
      <c r="H94" s="27"/>
      <c r="I94" s="27"/>
      <c r="J94" s="27"/>
      <c r="K94" s="27"/>
      <c r="L94" s="27"/>
      <c r="M94" s="27"/>
      <c r="N94" s="27"/>
      <c r="O94" s="27"/>
      <c r="P94" s="27"/>
      <c r="Q94" s="27"/>
      <c r="R94" s="27"/>
      <c r="S94" s="27"/>
      <c r="T94" s="27"/>
      <c r="U94" s="27"/>
    </row>
    <row r="95" spans="1:21" x14ac:dyDescent="0.25">
      <c r="A95" s="27"/>
      <c r="B95" s="27"/>
      <c r="C95" s="27"/>
      <c r="D95" s="27"/>
      <c r="E95" s="27"/>
      <c r="F95" s="27"/>
      <c r="G95" s="27"/>
      <c r="H95" s="27"/>
      <c r="I95" s="27"/>
      <c r="J95" s="27"/>
      <c r="K95" s="27"/>
      <c r="L95" s="27"/>
      <c r="M95" s="27"/>
      <c r="N95" s="27"/>
      <c r="O95" s="27"/>
      <c r="P95" s="27"/>
      <c r="Q95" s="27"/>
      <c r="R95" s="27"/>
      <c r="S95" s="27"/>
      <c r="T95" s="27"/>
      <c r="U95" s="27"/>
    </row>
    <row r="96" spans="1:21" x14ac:dyDescent="0.25">
      <c r="A96" s="27"/>
      <c r="B96" s="27"/>
      <c r="C96" s="27"/>
      <c r="D96" s="27"/>
      <c r="E96" s="27"/>
      <c r="F96" s="27"/>
      <c r="G96" s="27"/>
      <c r="H96" s="27"/>
      <c r="I96" s="27"/>
      <c r="J96" s="27"/>
      <c r="K96" s="27"/>
      <c r="L96" s="27"/>
      <c r="M96" s="27"/>
      <c r="N96" s="27"/>
      <c r="O96" s="27"/>
      <c r="P96" s="27"/>
      <c r="Q96" s="27"/>
      <c r="R96" s="27"/>
      <c r="S96" s="27"/>
      <c r="T96" s="27"/>
      <c r="U96" s="27"/>
    </row>
    <row r="97" spans="1:21" x14ac:dyDescent="0.25">
      <c r="A97" s="27"/>
      <c r="B97" s="27"/>
      <c r="C97" s="27"/>
      <c r="D97" s="27"/>
      <c r="E97" s="27"/>
      <c r="F97" s="27"/>
      <c r="G97" s="27"/>
      <c r="H97" s="27"/>
      <c r="I97" s="27"/>
      <c r="J97" s="27"/>
      <c r="K97" s="27"/>
      <c r="L97" s="27"/>
      <c r="M97" s="27"/>
      <c r="N97" s="27"/>
      <c r="O97" s="27"/>
      <c r="P97" s="27"/>
      <c r="Q97" s="27"/>
      <c r="R97" s="27"/>
      <c r="S97" s="27"/>
      <c r="T97" s="27"/>
      <c r="U97" s="27"/>
    </row>
    <row r="98" spans="1:21" x14ac:dyDescent="0.25">
      <c r="A98" s="27"/>
      <c r="B98" s="27"/>
      <c r="C98" s="27"/>
      <c r="D98" s="27"/>
      <c r="E98" s="27"/>
      <c r="F98" s="27"/>
      <c r="G98" s="27"/>
      <c r="H98" s="27"/>
      <c r="I98" s="27"/>
      <c r="J98" s="27"/>
      <c r="K98" s="27"/>
      <c r="L98" s="27"/>
      <c r="M98" s="27"/>
      <c r="N98" s="27"/>
      <c r="O98" s="27"/>
      <c r="P98" s="27"/>
      <c r="Q98" s="27"/>
      <c r="R98" s="27"/>
      <c r="S98" s="27"/>
      <c r="T98" s="27"/>
      <c r="U98" s="27"/>
    </row>
    <row r="99" spans="1:21" x14ac:dyDescent="0.25">
      <c r="A99" s="27"/>
      <c r="B99" s="27"/>
      <c r="C99" s="27"/>
      <c r="D99" s="27"/>
      <c r="E99" s="27"/>
      <c r="F99" s="27"/>
      <c r="G99" s="27"/>
      <c r="H99" s="27"/>
      <c r="I99" s="27"/>
      <c r="J99" s="27"/>
      <c r="K99" s="27"/>
      <c r="L99" s="27"/>
      <c r="M99" s="27"/>
      <c r="N99" s="27"/>
      <c r="O99" s="27"/>
      <c r="P99" s="27"/>
      <c r="Q99" s="27"/>
      <c r="R99" s="27"/>
      <c r="S99" s="27"/>
      <c r="T99" s="27"/>
      <c r="U99" s="27"/>
    </row>
    <row r="100" spans="1:21" x14ac:dyDescent="0.25">
      <c r="A100" s="27"/>
      <c r="B100" s="27"/>
      <c r="C100" s="27"/>
      <c r="D100" s="27"/>
      <c r="E100" s="27"/>
      <c r="F100" s="27"/>
      <c r="G100" s="27"/>
      <c r="H100" s="27"/>
      <c r="I100" s="27"/>
      <c r="J100" s="27"/>
      <c r="K100" s="27"/>
      <c r="L100" s="27"/>
      <c r="M100" s="27"/>
      <c r="N100" s="27"/>
      <c r="O100" s="27"/>
      <c r="P100" s="27"/>
      <c r="Q100" s="27"/>
      <c r="R100" s="27"/>
      <c r="S100" s="27"/>
      <c r="T100" s="27"/>
      <c r="U100" s="27"/>
    </row>
  </sheetData>
  <mergeCells count="3">
    <mergeCell ref="A3:M3"/>
    <mergeCell ref="A1:U1"/>
    <mergeCell ref="A2:U2"/>
  </mergeCells>
  <phoneticPr fontId="35" type="noConversion"/>
  <conditionalFormatting sqref="S101:S167 R7:U99">
    <cfRule type="containsText" dxfId="39" priority="5" operator="containsText" text="Open"/>
    <cfRule type="containsText" dxfId="38" priority="6" operator="containsText" text="Approved"/>
    <cfRule type="containsText" dxfId="37" priority="7" operator="containsText" text="In Progress"/>
    <cfRule type="containsText" dxfId="36" priority="8" operator="containsText" text="Draft"/>
  </conditionalFormatting>
  <conditionalFormatting sqref="R6:U6">
    <cfRule type="containsText" dxfId="35" priority="1" operator="containsText" text="Open"/>
    <cfRule type="containsText" dxfId="34" priority="2" operator="containsText" text="Approved"/>
    <cfRule type="containsText" dxfId="33" priority="3" operator="containsText" text="In Progress"/>
    <cfRule type="containsText" dxfId="32" priority="4" operator="containsText" text="Draft"/>
  </conditionalFormatting>
  <dataValidations count="4">
    <dataValidation errorStyle="warning" showErrorMessage="1" errorTitle="Invalid value" error="Select a value from the dropdown list." sqref="F6:F7 M6:M7" xr:uid="{D961F3F2-1FA7-4106-BD81-22114B9DADBC}"/>
    <dataValidation type="list" allowBlank="1" sqref="S100:S167" xr:uid="{356AD89E-36A0-44CE-94B4-A416933B40B2}">
      <formula1>"Not Started,Draft,In Progress,Blocked,Ready for Review,Approved,Deferred,Closed"</formula1>
    </dataValidation>
    <dataValidation type="list" allowBlank="1" sqref="N100:N167" xr:uid="{3B226B6F-D1F7-43D4-84AB-84027D41630C}">
      <formula1>"High,Medium,Low"</formula1>
    </dataValidation>
    <dataValidation type="list" allowBlank="1" sqref="L100:L167 M6:M167" xr:uid="{8143B5ED-2478-415C-AF5B-2A9F67C63958}">
      <formula1>"Yes,No"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4F5778B-BB94-4F2D-9980-7986E3F26EC2}">
          <x14:formula1>
            <xm:f>'11 Lists'!$A$5:$A$6</xm:f>
          </x14:formula1>
          <xm:sqref>P6:Q99</xm:sqref>
        </x14:dataValidation>
        <x14:dataValidation type="list" errorStyle="warning" allowBlank="1" showErrorMessage="1" errorTitle="Invalid value" error="Select a value from the dropdown list." xr:uid="{32121754-7A09-4098-950C-316E35271DD0}">
          <x14:formula1>
            <xm:f>'11 Lists'!$A$5:$A$6</xm:f>
          </x14:formula1>
          <xm:sqref>J6:K99</xm:sqref>
        </x14:dataValidation>
        <x14:dataValidation type="list" allowBlank="1" showInputMessage="1" showErrorMessage="1" xr:uid="{592A2B89-6F3C-42B5-994E-A773CFDB1AED}">
          <x14:formula1>
            <xm:f>'11 Lists'!$H$5:$H$13</xm:f>
          </x14:formula1>
          <xm:sqref>T6:T100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200"/>
  <sheetViews>
    <sheetView tabSelected="1" workbookViewId="0">
      <pane ySplit="3" topLeftCell="A4" activePane="bottomLeft" state="frozen"/>
      <selection pane="bottomLeft" activeCell="A6" sqref="A6"/>
    </sheetView>
  </sheetViews>
  <sheetFormatPr defaultRowHeight="15" x14ac:dyDescent="0.25"/>
  <cols>
    <col min="1" max="1" width="20" style="1" customWidth="1"/>
    <col min="2" max="2" width="27.42578125" style="1" bestFit="1" customWidth="1"/>
    <col min="3" max="3" width="21.85546875" style="1" bestFit="1" customWidth="1"/>
    <col min="4" max="4" width="20" style="1" customWidth="1"/>
    <col min="5" max="5" width="18" style="1" customWidth="1"/>
    <col min="6" max="6" width="30" style="1" customWidth="1"/>
    <col min="7" max="7" width="18" style="1" customWidth="1"/>
    <col min="8" max="8" width="12" style="1" customWidth="1"/>
    <col min="9" max="10" width="18" style="1" customWidth="1"/>
    <col min="11" max="11" width="20" style="1" customWidth="1"/>
    <col min="12" max="12" width="24" style="1" customWidth="1"/>
    <col min="13" max="13" width="14" style="1" customWidth="1"/>
    <col min="14" max="14" width="16" style="1" customWidth="1"/>
    <col min="15" max="15" width="28" style="1" customWidth="1"/>
    <col min="16" max="16" width="16" style="1" customWidth="1"/>
    <col min="17" max="17" width="14" style="1" customWidth="1"/>
    <col min="18" max="18" width="18" style="1" customWidth="1"/>
    <col min="19" max="19" width="20" style="1" customWidth="1"/>
    <col min="20" max="20" width="14" style="1" customWidth="1"/>
    <col min="21" max="22" width="18" style="1" customWidth="1"/>
    <col min="23" max="23" width="14" style="1" customWidth="1"/>
    <col min="24" max="26" width="18" style="1" customWidth="1"/>
    <col min="27" max="27" width="14" style="1" customWidth="1"/>
    <col min="28" max="30" width="18" style="1" customWidth="1"/>
    <col min="31" max="31" width="14" style="1" customWidth="1"/>
  </cols>
  <sheetData>
    <row r="1" spans="1:51" ht="24" customHeight="1" x14ac:dyDescent="0.25">
      <c r="A1" s="59" t="s">
        <v>28</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2"/>
      <c r="AF1" s="2"/>
      <c r="AG1" s="2"/>
      <c r="AH1" s="2"/>
      <c r="AI1" s="2"/>
      <c r="AJ1" s="2"/>
      <c r="AK1" s="2"/>
      <c r="AL1" s="2"/>
      <c r="AM1" s="2"/>
      <c r="AN1" s="2"/>
      <c r="AO1" s="2"/>
      <c r="AP1" s="2"/>
      <c r="AQ1" s="2"/>
      <c r="AR1" s="2"/>
      <c r="AS1" s="2"/>
      <c r="AT1" s="2"/>
      <c r="AU1" s="2"/>
      <c r="AV1" s="2"/>
      <c r="AW1" s="2"/>
      <c r="AX1" s="2"/>
      <c r="AY1" s="2"/>
    </row>
    <row r="2" spans="1:51" ht="33.950000000000003" customHeight="1" x14ac:dyDescent="0.25">
      <c r="A2" s="56" t="s">
        <v>191</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8"/>
      <c r="AE2" s="2"/>
      <c r="AF2" s="2"/>
      <c r="AG2" s="2"/>
      <c r="AH2" s="2"/>
      <c r="AI2" s="2"/>
      <c r="AJ2" s="2"/>
      <c r="AK2" s="2"/>
      <c r="AL2" s="2"/>
      <c r="AM2" s="2"/>
      <c r="AN2" s="2"/>
      <c r="AO2" s="2"/>
      <c r="AP2" s="2"/>
      <c r="AQ2" s="2"/>
      <c r="AR2" s="2"/>
      <c r="AS2" s="2"/>
      <c r="AT2" s="2"/>
      <c r="AU2" s="2"/>
      <c r="AV2" s="2"/>
      <c r="AW2" s="2"/>
      <c r="AX2" s="2"/>
      <c r="AY2" s="2"/>
    </row>
    <row r="3" spans="1:51" ht="20.100000000000001" customHeight="1" x14ac:dyDescent="0.25">
      <c r="A3" s="24" t="s">
        <v>192</v>
      </c>
      <c r="B3" s="24"/>
      <c r="C3" s="24"/>
      <c r="D3" s="24"/>
      <c r="E3" s="24"/>
      <c r="F3" s="24"/>
      <c r="G3" s="24"/>
      <c r="H3" s="24"/>
      <c r="I3" s="24"/>
      <c r="J3" s="26" t="s">
        <v>193</v>
      </c>
      <c r="K3" s="26"/>
      <c r="L3" s="26"/>
      <c r="M3" s="26"/>
      <c r="N3" s="26"/>
      <c r="O3" s="26"/>
      <c r="P3" s="26"/>
      <c r="Q3" s="26"/>
      <c r="R3" s="26"/>
      <c r="S3" s="25" t="s">
        <v>42</v>
      </c>
      <c r="T3" s="25"/>
      <c r="U3" s="25"/>
      <c r="V3" s="25"/>
      <c r="W3" s="25"/>
      <c r="X3" s="29" t="s">
        <v>194</v>
      </c>
      <c r="Y3" s="29"/>
      <c r="Z3" s="29"/>
      <c r="AA3" s="29"/>
      <c r="AB3" s="29"/>
      <c r="AC3" s="29"/>
      <c r="AD3" s="29"/>
      <c r="AE3" s="2"/>
      <c r="AF3" s="2"/>
      <c r="AG3" s="2"/>
      <c r="AH3" s="2"/>
      <c r="AI3" s="2"/>
      <c r="AJ3" s="2"/>
      <c r="AK3" s="2"/>
      <c r="AL3" s="2"/>
      <c r="AM3" s="2"/>
      <c r="AN3" s="2"/>
      <c r="AO3" s="2"/>
      <c r="AP3" s="2"/>
      <c r="AQ3" s="2"/>
      <c r="AR3" s="2"/>
      <c r="AS3" s="2"/>
      <c r="AT3" s="2"/>
      <c r="AU3" s="2"/>
      <c r="AV3" s="2"/>
      <c r="AW3" s="2"/>
      <c r="AX3" s="2"/>
      <c r="AY3" s="2"/>
    </row>
    <row r="4" spans="1:51" ht="20.100000000000001" customHeight="1" x14ac:dyDescent="0.25">
      <c r="A4" s="49" t="s">
        <v>93</v>
      </c>
      <c r="B4" s="49" t="s">
        <v>594</v>
      </c>
      <c r="C4" s="49" t="s">
        <v>172</v>
      </c>
      <c r="D4" s="49" t="s">
        <v>197</v>
      </c>
      <c r="E4" s="49" t="s">
        <v>198</v>
      </c>
      <c r="F4" s="49" t="s">
        <v>199</v>
      </c>
      <c r="G4" s="49" t="s">
        <v>200</v>
      </c>
      <c r="H4" s="49" t="s">
        <v>201</v>
      </c>
      <c r="I4" s="49" t="s">
        <v>202</v>
      </c>
      <c r="J4" s="49" t="s">
        <v>203</v>
      </c>
      <c r="K4" s="49" t="s">
        <v>204</v>
      </c>
      <c r="L4" s="49" t="s">
        <v>205</v>
      </c>
      <c r="M4" s="49" t="s">
        <v>206</v>
      </c>
      <c r="N4" s="49" t="s">
        <v>207</v>
      </c>
      <c r="O4" s="49" t="s">
        <v>208</v>
      </c>
      <c r="P4" s="49" t="s">
        <v>209</v>
      </c>
      <c r="Q4" s="49" t="s">
        <v>210</v>
      </c>
      <c r="R4" s="49" t="s">
        <v>211</v>
      </c>
      <c r="S4" s="49" t="s">
        <v>212</v>
      </c>
      <c r="T4" s="49" t="s">
        <v>213</v>
      </c>
      <c r="U4" s="49" t="s">
        <v>214</v>
      </c>
      <c r="V4" s="49" t="s">
        <v>215</v>
      </c>
      <c r="W4" s="49" t="s">
        <v>216</v>
      </c>
      <c r="X4" s="49" t="s">
        <v>217</v>
      </c>
      <c r="Y4" s="49" t="s">
        <v>218</v>
      </c>
      <c r="Z4" s="49" t="s">
        <v>219</v>
      </c>
      <c r="AA4" s="49" t="s">
        <v>220</v>
      </c>
      <c r="AB4" s="49" t="s">
        <v>221</v>
      </c>
      <c r="AC4" s="49" t="s">
        <v>222</v>
      </c>
      <c r="AD4" s="49" t="s">
        <v>223</v>
      </c>
      <c r="AE4" s="2"/>
      <c r="AF4" s="2"/>
      <c r="AG4" s="2"/>
      <c r="AH4" s="2"/>
      <c r="AI4" s="2"/>
      <c r="AJ4" s="2"/>
      <c r="AK4" s="2"/>
      <c r="AL4" s="2"/>
      <c r="AM4" s="2"/>
      <c r="AN4" s="2"/>
      <c r="AO4" s="2"/>
      <c r="AP4" s="2"/>
      <c r="AQ4" s="2"/>
      <c r="AR4" s="2"/>
      <c r="AS4" s="2"/>
      <c r="AT4" s="2"/>
      <c r="AU4" s="2"/>
      <c r="AV4" s="2"/>
      <c r="AW4" s="2"/>
      <c r="AX4" s="2"/>
      <c r="AY4" s="2"/>
    </row>
    <row r="5" spans="1:51" ht="48" customHeight="1" x14ac:dyDescent="0.25">
      <c r="A5" s="23" t="s">
        <v>669</v>
      </c>
      <c r="B5" s="23" t="s">
        <v>709</v>
      </c>
      <c r="C5" s="23" t="s">
        <v>670</v>
      </c>
      <c r="D5" s="23" t="s">
        <v>224</v>
      </c>
      <c r="E5" s="23" t="s">
        <v>225</v>
      </c>
      <c r="F5" s="23" t="s">
        <v>226</v>
      </c>
      <c r="G5" s="23" t="s">
        <v>227</v>
      </c>
      <c r="H5" s="23" t="s">
        <v>228</v>
      </c>
      <c r="I5" s="23" t="s">
        <v>229</v>
      </c>
      <c r="J5" s="23" t="s">
        <v>230</v>
      </c>
      <c r="K5" s="23" t="s">
        <v>231</v>
      </c>
      <c r="L5" s="23" t="s">
        <v>232</v>
      </c>
      <c r="M5" s="23" t="s">
        <v>233</v>
      </c>
      <c r="N5" s="23" t="s">
        <v>234</v>
      </c>
      <c r="O5" s="23" t="s">
        <v>235</v>
      </c>
      <c r="P5" s="23" t="s">
        <v>236</v>
      </c>
      <c r="Q5" s="23" t="s">
        <v>237</v>
      </c>
      <c r="R5" s="23" t="s">
        <v>238</v>
      </c>
      <c r="S5" s="23" t="s">
        <v>239</v>
      </c>
      <c r="T5" s="23" t="s">
        <v>240</v>
      </c>
      <c r="U5" s="23" t="s">
        <v>241</v>
      </c>
      <c r="V5" s="23" t="s">
        <v>242</v>
      </c>
      <c r="W5" s="23" t="s">
        <v>243</v>
      </c>
      <c r="X5" s="23" t="s">
        <v>244</v>
      </c>
      <c r="Y5" s="23" t="s">
        <v>245</v>
      </c>
      <c r="Z5" s="23" t="s">
        <v>246</v>
      </c>
      <c r="AA5" s="23" t="s">
        <v>247</v>
      </c>
      <c r="AB5" s="23" t="s">
        <v>248</v>
      </c>
      <c r="AC5" s="23" t="s">
        <v>249</v>
      </c>
      <c r="AD5" s="23" t="s">
        <v>250</v>
      </c>
      <c r="AE5" s="2"/>
      <c r="AF5" s="2"/>
      <c r="AG5" s="2"/>
      <c r="AH5" s="2"/>
      <c r="AI5" s="2"/>
      <c r="AJ5" s="2"/>
      <c r="AK5" s="2"/>
      <c r="AL5" s="2"/>
      <c r="AM5" s="2"/>
      <c r="AN5" s="2"/>
      <c r="AO5" s="2"/>
      <c r="AP5" s="2"/>
      <c r="AQ5" s="2"/>
      <c r="AR5" s="2"/>
      <c r="AS5" s="2"/>
      <c r="AT5" s="2"/>
      <c r="AU5" s="2"/>
      <c r="AV5" s="2"/>
      <c r="AW5" s="2"/>
      <c r="AX5" s="2"/>
      <c r="AY5" s="2"/>
    </row>
    <row r="6" spans="1:51" ht="94.5" x14ac:dyDescent="0.25">
      <c r="A6" s="27" t="s">
        <v>81</v>
      </c>
      <c r="B6" s="27" t="str">
        <f>IF(Table6[[#This Row],[Bronze Dataset / Object Name]]="","-",Table6[[#This Row],[Bronze Dataset / Object Name]])</f>
        <v>brz_licensing_license_master</v>
      </c>
      <c r="C6" s="96" t="s">
        <v>688</v>
      </c>
      <c r="D6" s="27" t="s">
        <v>252</v>
      </c>
      <c r="E6" s="27" t="s">
        <v>253</v>
      </c>
      <c r="F6" s="27" t="s">
        <v>254</v>
      </c>
      <c r="G6" s="27" t="s">
        <v>255</v>
      </c>
      <c r="H6" s="27" t="s">
        <v>141</v>
      </c>
      <c r="I6" s="27" t="s">
        <v>256</v>
      </c>
      <c r="J6" s="27" t="s">
        <v>181</v>
      </c>
      <c r="K6" s="27" t="s">
        <v>257</v>
      </c>
      <c r="L6" s="27" t="s">
        <v>258</v>
      </c>
      <c r="M6" s="27" t="s">
        <v>141</v>
      </c>
      <c r="N6" s="27" t="s">
        <v>259</v>
      </c>
      <c r="O6" s="27" t="s">
        <v>260</v>
      </c>
      <c r="P6" s="27" t="s">
        <v>184</v>
      </c>
      <c r="Q6" s="27" t="s">
        <v>261</v>
      </c>
      <c r="R6" s="27" t="s">
        <v>262</v>
      </c>
      <c r="S6" s="27" t="s">
        <v>263</v>
      </c>
      <c r="T6" s="27" t="s">
        <v>264</v>
      </c>
      <c r="U6" s="27" t="s">
        <v>159</v>
      </c>
      <c r="V6" s="27" t="s">
        <v>265</v>
      </c>
      <c r="W6" s="27" t="s">
        <v>266</v>
      </c>
      <c r="X6" s="27" t="s">
        <v>267</v>
      </c>
      <c r="Y6" s="27" t="s">
        <v>268</v>
      </c>
      <c r="Z6" s="27" t="s">
        <v>267</v>
      </c>
      <c r="AA6" s="27" t="s">
        <v>269</v>
      </c>
      <c r="AB6" s="27" t="s">
        <v>141</v>
      </c>
      <c r="AC6" s="27" t="s">
        <v>270</v>
      </c>
      <c r="AD6" s="27" t="s">
        <v>159</v>
      </c>
      <c r="AE6" s="2"/>
      <c r="AF6" s="2"/>
      <c r="AG6" s="2"/>
      <c r="AH6" s="2"/>
      <c r="AI6" s="2"/>
      <c r="AJ6" s="2"/>
      <c r="AK6" s="2"/>
      <c r="AL6" s="2"/>
      <c r="AM6" s="2"/>
      <c r="AN6" s="2"/>
      <c r="AO6" s="2"/>
      <c r="AP6" s="2"/>
      <c r="AQ6" s="2"/>
      <c r="AR6" s="2"/>
      <c r="AS6" s="2"/>
      <c r="AT6" s="2"/>
      <c r="AU6" s="2"/>
      <c r="AV6" s="2"/>
      <c r="AW6" s="2"/>
      <c r="AX6" s="2"/>
      <c r="AY6" s="2"/>
    </row>
    <row r="7" spans="1:51" ht="67.5" x14ac:dyDescent="0.25">
      <c r="A7" s="27" t="s">
        <v>153</v>
      </c>
      <c r="B7" s="27" t="str">
        <f>IF(Table6[[#This Row],[Bronze Dataset / Object Name]]="","-",Table6[[#This Row],[Bronze Dataset / Object Name]])</f>
        <v>brz_finance_payments_weekly</v>
      </c>
      <c r="C7" s="96" t="s">
        <v>699</v>
      </c>
      <c r="D7" s="27" t="s">
        <v>272</v>
      </c>
      <c r="E7" s="27" t="s">
        <v>273</v>
      </c>
      <c r="F7" s="27" t="s">
        <v>274</v>
      </c>
      <c r="G7" s="27" t="s">
        <v>275</v>
      </c>
      <c r="H7" s="27" t="s">
        <v>141</v>
      </c>
      <c r="I7" s="27" t="s">
        <v>276</v>
      </c>
      <c r="J7" s="27" t="s">
        <v>187</v>
      </c>
      <c r="K7" s="27" t="s">
        <v>277</v>
      </c>
      <c r="L7" s="27" t="s">
        <v>278</v>
      </c>
      <c r="M7" s="27" t="s">
        <v>141</v>
      </c>
      <c r="N7" s="27" t="s">
        <v>279</v>
      </c>
      <c r="O7" s="27" t="s">
        <v>280</v>
      </c>
      <c r="P7" s="27" t="s">
        <v>190</v>
      </c>
      <c r="Q7" s="27" t="s">
        <v>189</v>
      </c>
      <c r="R7" s="27" t="s">
        <v>281</v>
      </c>
      <c r="S7" s="27" t="s">
        <v>282</v>
      </c>
      <c r="T7" s="27" t="s">
        <v>264</v>
      </c>
      <c r="U7" s="27" t="s">
        <v>159</v>
      </c>
      <c r="V7" s="27" t="s">
        <v>283</v>
      </c>
      <c r="W7" s="27" t="s">
        <v>284</v>
      </c>
      <c r="X7" s="27" t="s">
        <v>285</v>
      </c>
      <c r="Y7" s="27" t="s">
        <v>286</v>
      </c>
      <c r="Z7" s="27" t="s">
        <v>287</v>
      </c>
      <c r="AA7" s="27" t="s">
        <v>288</v>
      </c>
      <c r="AB7" s="27" t="s">
        <v>159</v>
      </c>
      <c r="AC7" s="27"/>
      <c r="AD7" s="27" t="s">
        <v>159</v>
      </c>
      <c r="AE7" s="2"/>
      <c r="AF7" s="2"/>
      <c r="AG7" s="2"/>
      <c r="AH7" s="2"/>
      <c r="AI7" s="2"/>
      <c r="AJ7" s="2"/>
      <c r="AK7" s="2"/>
      <c r="AL7" s="2"/>
      <c r="AM7" s="2"/>
      <c r="AN7" s="2"/>
      <c r="AO7" s="2"/>
      <c r="AP7" s="2"/>
      <c r="AQ7" s="2"/>
      <c r="AR7" s="2"/>
      <c r="AS7" s="2"/>
      <c r="AT7" s="2"/>
      <c r="AU7" s="2"/>
      <c r="AV7" s="2"/>
      <c r="AW7" s="2"/>
      <c r="AX7" s="2"/>
      <c r="AY7" s="2"/>
    </row>
    <row r="8" spans="1:51" x14ac:dyDescent="0.25">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
      <c r="AF8" s="2"/>
      <c r="AG8" s="2"/>
      <c r="AH8" s="2"/>
      <c r="AI8" s="2"/>
      <c r="AJ8" s="2"/>
      <c r="AK8" s="2"/>
      <c r="AL8" s="2"/>
      <c r="AM8" s="2"/>
      <c r="AN8" s="2"/>
      <c r="AO8" s="2"/>
      <c r="AP8" s="2"/>
      <c r="AQ8" s="2"/>
      <c r="AR8" s="2"/>
      <c r="AS8" s="2"/>
      <c r="AT8" s="2"/>
      <c r="AU8" s="2"/>
      <c r="AV8" s="2"/>
      <c r="AW8" s="2"/>
      <c r="AX8" s="2"/>
      <c r="AY8" s="2"/>
    </row>
    <row r="9" spans="1:51"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
      <c r="AF9" s="2"/>
      <c r="AG9" s="2"/>
      <c r="AH9" s="2"/>
      <c r="AI9" s="2"/>
      <c r="AJ9" s="2"/>
      <c r="AK9" s="2"/>
      <c r="AL9" s="2"/>
      <c r="AM9" s="2"/>
      <c r="AN9" s="2"/>
      <c r="AO9" s="2"/>
      <c r="AP9" s="2"/>
      <c r="AQ9" s="2"/>
      <c r="AR9" s="2"/>
      <c r="AS9" s="2"/>
      <c r="AT9" s="2"/>
      <c r="AU9" s="2"/>
      <c r="AV9" s="2"/>
      <c r="AW9" s="2"/>
      <c r="AX9" s="2"/>
      <c r="AY9" s="2"/>
    </row>
    <row r="10" spans="1:51" x14ac:dyDescent="0.2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
      <c r="AF10" s="2"/>
      <c r="AG10" s="2"/>
      <c r="AH10" s="2"/>
      <c r="AI10" s="2"/>
      <c r="AJ10" s="2"/>
      <c r="AK10" s="2"/>
      <c r="AL10" s="2"/>
      <c r="AM10" s="2"/>
      <c r="AN10" s="2"/>
      <c r="AO10" s="2"/>
      <c r="AP10" s="2"/>
      <c r="AQ10" s="2"/>
      <c r="AR10" s="2"/>
      <c r="AS10" s="2"/>
      <c r="AT10" s="2"/>
      <c r="AU10" s="2"/>
      <c r="AV10" s="2"/>
      <c r="AW10" s="2"/>
      <c r="AX10" s="2"/>
      <c r="AY10" s="2"/>
    </row>
    <row r="11" spans="1:51" x14ac:dyDescent="0.2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51" x14ac:dyDescent="0.2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51" x14ac:dyDescent="0.2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51" x14ac:dyDescent="0.2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51" x14ac:dyDescent="0.2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51" x14ac:dyDescent="0.2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x14ac:dyDescent="0.2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x14ac:dyDescent="0.2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x14ac:dyDescent="0.2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x14ac:dyDescent="0.2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x14ac:dyDescent="0.2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x14ac:dyDescent="0.2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x14ac:dyDescent="0.2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row r="42" spans="1:30" x14ac:dyDescent="0.2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0" x14ac:dyDescent="0.2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0" x14ac:dyDescent="0.2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0" x14ac:dyDescent="0.2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0" x14ac:dyDescent="0.2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0" x14ac:dyDescent="0.2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0" x14ac:dyDescent="0.2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x14ac:dyDescent="0.2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row>
    <row r="51" spans="1:30" x14ac:dyDescent="0.2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row>
    <row r="52" spans="1:30" x14ac:dyDescent="0.2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row>
    <row r="53" spans="1:30"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row>
    <row r="54" spans="1:30"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row>
    <row r="55" spans="1:30"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row>
    <row r="56" spans="1:30"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row>
    <row r="57" spans="1:30"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row>
    <row r="58" spans="1:30"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row>
    <row r="59" spans="1:30"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row>
    <row r="60" spans="1:30"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row>
    <row r="61" spans="1:30"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row>
    <row r="62" spans="1:30"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row>
    <row r="63" spans="1:30"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row>
    <row r="64" spans="1:30"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row>
    <row r="65" spans="1:30"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row>
    <row r="66" spans="1:30"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row>
    <row r="67" spans="1:30"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row>
    <row r="68" spans="1:30"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row>
    <row r="69" spans="1:30"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row>
    <row r="70" spans="1:30"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row>
    <row r="71" spans="1:30"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row>
    <row r="72" spans="1:30"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row>
    <row r="74" spans="1:30"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row>
    <row r="75" spans="1:30"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row>
    <row r="76" spans="1:30"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row>
    <row r="77" spans="1:30"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row>
    <row r="78" spans="1:30"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row>
    <row r="79" spans="1:30"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row>
    <row r="80" spans="1:30"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row>
    <row r="81" spans="1:30"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row>
    <row r="82" spans="1:30"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row>
    <row r="83" spans="1:30"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row>
    <row r="84" spans="1:30"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row>
    <row r="85" spans="1:30"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row>
    <row r="86" spans="1:30"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row>
    <row r="87" spans="1:30"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row>
    <row r="88" spans="1:30"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row>
    <row r="89" spans="1:30"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row>
    <row r="90" spans="1:30"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row>
    <row r="91" spans="1:30"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row>
    <row r="92" spans="1:30"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row>
    <row r="93" spans="1:30"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row>
    <row r="94" spans="1:30"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spans="1:30"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row>
    <row r="96" spans="1:30"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row>
    <row r="97" spans="1:30"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row>
    <row r="98" spans="1:30"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row>
    <row r="99" spans="1:30"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row>
    <row r="100" spans="1:30"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row>
    <row r="101" spans="1:30"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spans="1:30"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row>
    <row r="103" spans="1:30"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row>
    <row r="104" spans="1:30"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row>
    <row r="105" spans="1:30"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row>
    <row r="106" spans="1:30"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row>
    <row r="108" spans="1:30"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row>
    <row r="109" spans="1:30"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spans="1:30"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row>
    <row r="111" spans="1:30"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row>
    <row r="112" spans="1:30"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row>
    <row r="113" spans="1:30"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row>
    <row r="114" spans="1:30"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row>
    <row r="115" spans="1:30"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row>
    <row r="116" spans="1:30"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row>
    <row r="117" spans="1:30"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row>
    <row r="118" spans="1:30"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row>
    <row r="119" spans="1:30"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row>
    <row r="120" spans="1:30"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spans="1:30"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row>
    <row r="122" spans="1:30"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row>
    <row r="123" spans="1:30"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row>
    <row r="124" spans="1:30"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row>
    <row r="125" spans="1:30"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row>
    <row r="126" spans="1:30"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row>
    <row r="127" spans="1:30"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spans="1:30"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row>
    <row r="129" spans="1:30"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row>
    <row r="130" spans="1:30"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row>
    <row r="131" spans="1:30"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row>
    <row r="132" spans="1:30"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row>
    <row r="133" spans="1:30"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row>
    <row r="134" spans="1:30"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row>
    <row r="135" spans="1:30"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row>
    <row r="136" spans="1:30"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row>
    <row r="137" spans="1:30"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row>
    <row r="138" spans="1:30"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row>
    <row r="139" spans="1:30"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row>
    <row r="140" spans="1:30"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row>
    <row r="142" spans="1:30"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row>
    <row r="143" spans="1:30"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row>
    <row r="144" spans="1:30"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row>
    <row r="145" spans="1:30"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row>
    <row r="146" spans="1:30"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row>
    <row r="147" spans="1:30"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row>
    <row r="148" spans="1:30"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row>
    <row r="149" spans="1:30"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row>
    <row r="150" spans="1:30"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row>
    <row r="151" spans="1:30"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row>
    <row r="152" spans="1:30"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row>
    <row r="153" spans="1:30"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row>
    <row r="154" spans="1:30"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row>
    <row r="155" spans="1:30"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row>
    <row r="156" spans="1:30"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row>
    <row r="157" spans="1:30"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spans="1:30"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row>
    <row r="159" spans="1:30"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row>
    <row r="160" spans="1:30"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row>
    <row r="161" spans="1:30"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row>
    <row r="162" spans="1:30"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row>
    <row r="163" spans="1:30"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row>
    <row r="164" spans="1:30"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row>
    <row r="165" spans="1:30"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row>
    <row r="166" spans="1:30"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row>
    <row r="167" spans="1:30"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row>
    <row r="168" spans="1:30"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spans="1:30"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row>
    <row r="170" spans="1:30"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row>
    <row r="171" spans="1:30"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row>
    <row r="172" spans="1:30"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row>
    <row r="173" spans="1:30"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row>
    <row r="174" spans="1:30"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spans="1:30"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row>
    <row r="177" spans="1:30"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row>
    <row r="178" spans="1:30"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row>
    <row r="179" spans="1:30"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row>
    <row r="180" spans="1:30"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row>
    <row r="181" spans="1:30"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row>
    <row r="182" spans="1:30"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row>
    <row r="183" spans="1:30"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row>
    <row r="184" spans="1:30"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row>
    <row r="185" spans="1:30"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spans="1:30"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row>
    <row r="187" spans="1:30"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row>
    <row r="188" spans="1:30"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row>
    <row r="189" spans="1:30"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row>
    <row r="190" spans="1:30"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row>
    <row r="192" spans="1:30"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row>
    <row r="193" spans="1:30"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row>
    <row r="194" spans="1:30"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row>
    <row r="195" spans="1:30"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row>
    <row r="196" spans="1:30"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row>
    <row r="197" spans="1:30"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row>
    <row r="198" spans="1:30"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row>
    <row r="199" spans="1:30"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row>
    <row r="200" spans="1:30"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row>
  </sheetData>
  <mergeCells count="2">
    <mergeCell ref="A1:AD1"/>
    <mergeCell ref="A2:AD2"/>
  </mergeCells>
  <conditionalFormatting sqref="AA6:AA300">
    <cfRule type="containsText" dxfId="23" priority="1" operator="containsText" text="Open"/>
    <cfRule type="containsText" dxfId="22" priority="3" operator="containsText" text="Approved"/>
    <cfRule type="containsText" dxfId="21" priority="5" operator="containsText" text="In Progress"/>
    <cfRule type="containsText" dxfId="20" priority="6" operator="containsText" text="Draft"/>
  </conditionalFormatting>
  <dataValidations count="6">
    <dataValidation type="list" allowBlank="1" sqref="G6:G500 AD6:AD300 AB6:AB300 U6:U300 M6:M300 H6:H300 W6:X500 S6:S500" xr:uid="{00000000-0002-0000-0400-000000000000}">
      <formula1>"Yes,No"</formula1>
    </dataValidation>
    <dataValidation type="list" allowBlank="1" sqref="P6:P500 N6:N300" xr:uid="{00000000-0002-0000-0400-000001000000}">
      <formula1>"Pass-through,Standardize,Validate,Map,Derive,Enrich,Restrict,Exclude"</formula1>
    </dataValidation>
    <dataValidation type="list" allowBlank="1" sqref="U6:U500" xr:uid="{00000000-0002-0000-0400-000003000000}">
      <formula1>"Public,Internal,Confidential,Restricted,Regulated / Sensitive"</formula1>
    </dataValidation>
    <dataValidation type="list" allowBlank="1" sqref="AA6:AA500" xr:uid="{00000000-0002-0000-0400-000006000000}">
      <formula1>"Not Started,Draft,In Progress,Blocked,Ready for Review,Approved,Deferred"</formula1>
    </dataValidation>
    <dataValidation type="list" allowBlank="1" sqref="P6:P300" xr:uid="{00000000-0002-0000-0400-00000D000000}">
      <formula1>"Draft,In Progress,Needs Review,Approved,Blocked"</formula1>
    </dataValidation>
    <dataValidation type="list" allowBlank="1" sqref="S6:S300" xr:uid="{00000000-0002-0000-0400-00000E000000}">
      <formula1>"Public,Internal,Confidential,Restricted"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200"/>
  <sheetViews>
    <sheetView workbookViewId="0">
      <pane ySplit="3" topLeftCell="A4" activePane="bottomLeft" state="frozen"/>
      <selection pane="bottomLeft" activeCell="A6" sqref="A6"/>
    </sheetView>
  </sheetViews>
  <sheetFormatPr defaultRowHeight="15" x14ac:dyDescent="0.25"/>
  <cols>
    <col min="1" max="1" width="10" style="1" customWidth="1"/>
    <col min="2" max="2" width="22" style="1" customWidth="1"/>
    <col min="3" max="3" width="18" style="1" customWidth="1"/>
    <col min="4" max="4" width="10" style="1" customWidth="1"/>
    <col min="5" max="5" width="14" style="1" customWidth="1"/>
    <col min="6" max="7" width="16" style="1" customWidth="1"/>
    <col min="8" max="8" width="28" style="1" customWidth="1"/>
    <col min="9" max="9" width="10" style="1" customWidth="1"/>
    <col min="10" max="10" width="18" style="1" customWidth="1"/>
    <col min="11" max="11" width="16" style="1" customWidth="1"/>
    <col min="12" max="13" width="18" style="1" customWidth="1"/>
    <col min="14" max="14" width="20" style="1" customWidth="1"/>
    <col min="15" max="15" width="16" style="1" customWidth="1"/>
    <col min="16" max="17" width="14" style="1" customWidth="1"/>
    <col min="18" max="18" width="16" style="1" customWidth="1"/>
    <col min="19" max="19" width="14" style="1" customWidth="1"/>
    <col min="20" max="20" width="18" style="1" customWidth="1"/>
  </cols>
  <sheetData>
    <row r="1" spans="1:52" ht="24" customHeight="1" x14ac:dyDescent="0.25">
      <c r="A1" s="59" t="s">
        <v>33</v>
      </c>
      <c r="B1" s="59"/>
      <c r="C1" s="59"/>
      <c r="D1" s="59"/>
      <c r="E1" s="59"/>
      <c r="F1" s="59"/>
      <c r="G1" s="59"/>
      <c r="H1" s="59"/>
      <c r="I1" s="59"/>
      <c r="J1" s="59"/>
      <c r="K1" s="59"/>
      <c r="L1" s="59"/>
      <c r="M1" s="59"/>
      <c r="N1" s="59"/>
      <c r="O1" s="59"/>
      <c r="P1" s="59"/>
      <c r="Q1" s="59"/>
      <c r="R1" s="10"/>
      <c r="S1" s="10"/>
      <c r="T1" s="10"/>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289</v>
      </c>
      <c r="B2" s="57"/>
      <c r="C2" s="57"/>
      <c r="D2" s="57"/>
      <c r="E2" s="57"/>
      <c r="F2" s="57"/>
      <c r="G2" s="57"/>
      <c r="H2" s="57"/>
      <c r="I2" s="57"/>
      <c r="J2" s="57"/>
      <c r="K2" s="57"/>
      <c r="L2" s="57"/>
      <c r="M2" s="57"/>
      <c r="N2" s="57"/>
      <c r="O2" s="57"/>
      <c r="P2" s="57"/>
      <c r="Q2" s="58"/>
      <c r="R2" s="11"/>
      <c r="S2" s="11"/>
      <c r="T2" s="11"/>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290</v>
      </c>
      <c r="B3" s="24"/>
      <c r="C3" s="24"/>
      <c r="D3" s="24"/>
      <c r="E3" s="24"/>
      <c r="F3" s="24"/>
      <c r="G3" s="24"/>
      <c r="H3" s="24"/>
      <c r="I3" s="25" t="s">
        <v>291</v>
      </c>
      <c r="J3" s="25"/>
      <c r="K3" s="25"/>
      <c r="L3" s="25"/>
      <c r="M3" s="25"/>
      <c r="N3" s="25"/>
      <c r="O3" s="26" t="s">
        <v>292</v>
      </c>
      <c r="P3" s="26"/>
      <c r="Q3" s="26"/>
      <c r="R3" s="26"/>
      <c r="S3" s="26"/>
      <c r="T3" s="26"/>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293</v>
      </c>
      <c r="B4" s="49" t="s">
        <v>294</v>
      </c>
      <c r="C4" s="49" t="s">
        <v>295</v>
      </c>
      <c r="D4" s="49" t="s">
        <v>296</v>
      </c>
      <c r="E4" s="49" t="s">
        <v>196</v>
      </c>
      <c r="F4" s="49" t="s">
        <v>297</v>
      </c>
      <c r="G4" s="49" t="s">
        <v>298</v>
      </c>
      <c r="H4" s="49" t="s">
        <v>299</v>
      </c>
      <c r="I4" s="49" t="s">
        <v>300</v>
      </c>
      <c r="J4" s="49" t="s">
        <v>301</v>
      </c>
      <c r="K4" s="49" t="s">
        <v>302</v>
      </c>
      <c r="L4" s="49" t="s">
        <v>303</v>
      </c>
      <c r="M4" s="49" t="s">
        <v>304</v>
      </c>
      <c r="N4" s="49" t="s">
        <v>178</v>
      </c>
      <c r="O4" s="49" t="s">
        <v>305</v>
      </c>
      <c r="P4" s="49" t="s">
        <v>306</v>
      </c>
      <c r="Q4" s="49" t="s">
        <v>67</v>
      </c>
      <c r="R4" s="22"/>
      <c r="S4" s="22"/>
      <c r="T4" s="2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307</v>
      </c>
      <c r="B5" s="23" t="s">
        <v>308</v>
      </c>
      <c r="C5" s="23" t="s">
        <v>309</v>
      </c>
      <c r="D5" s="23" t="s">
        <v>310</v>
      </c>
      <c r="E5" s="23" t="s">
        <v>311</v>
      </c>
      <c r="F5" s="23" t="s">
        <v>312</v>
      </c>
      <c r="G5" s="23" t="s">
        <v>313</v>
      </c>
      <c r="H5" s="23" t="s">
        <v>314</v>
      </c>
      <c r="I5" s="23" t="s">
        <v>315</v>
      </c>
      <c r="J5" s="23" t="s">
        <v>316</v>
      </c>
      <c r="K5" s="23" t="s">
        <v>317</v>
      </c>
      <c r="L5" s="23" t="s">
        <v>318</v>
      </c>
      <c r="M5" s="23" t="s">
        <v>319</v>
      </c>
      <c r="N5" s="23" t="s">
        <v>320</v>
      </c>
      <c r="O5" s="23" t="s">
        <v>321</v>
      </c>
      <c r="P5" s="23" t="s">
        <v>322</v>
      </c>
      <c r="Q5" s="23" t="s">
        <v>323</v>
      </c>
      <c r="R5" s="23"/>
      <c r="S5" s="23"/>
      <c r="T5" s="23"/>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67.5" x14ac:dyDescent="0.25">
      <c r="A6" s="27" t="s">
        <v>265</v>
      </c>
      <c r="B6" s="27" t="s">
        <v>324</v>
      </c>
      <c r="C6" s="27" t="s">
        <v>81</v>
      </c>
      <c r="D6" s="27" t="s">
        <v>325</v>
      </c>
      <c r="E6" s="27" t="s">
        <v>251</v>
      </c>
      <c r="F6" s="27" t="s">
        <v>257</v>
      </c>
      <c r="G6" s="27" t="s">
        <v>326</v>
      </c>
      <c r="H6" s="27" t="s">
        <v>327</v>
      </c>
      <c r="I6" s="27" t="s">
        <v>150</v>
      </c>
      <c r="J6" s="27" t="s">
        <v>328</v>
      </c>
      <c r="K6" s="27" t="s">
        <v>329</v>
      </c>
      <c r="L6" s="27" t="s">
        <v>330</v>
      </c>
      <c r="M6" s="27" t="s">
        <v>331</v>
      </c>
      <c r="N6" s="27" t="s">
        <v>261</v>
      </c>
      <c r="O6" s="27" t="s">
        <v>190</v>
      </c>
      <c r="P6" s="27" t="s">
        <v>141</v>
      </c>
      <c r="Q6" s="27" t="s">
        <v>332</v>
      </c>
      <c r="R6" s="27"/>
      <c r="S6" s="27"/>
      <c r="T6" s="27"/>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67.5" x14ac:dyDescent="0.25">
      <c r="A7" s="27" t="s">
        <v>283</v>
      </c>
      <c r="B7" s="27" t="s">
        <v>333</v>
      </c>
      <c r="C7" s="27" t="s">
        <v>153</v>
      </c>
      <c r="D7" s="27" t="s">
        <v>325</v>
      </c>
      <c r="E7" s="27" t="s">
        <v>271</v>
      </c>
      <c r="F7" s="27" t="s">
        <v>334</v>
      </c>
      <c r="G7" s="27" t="s">
        <v>335</v>
      </c>
      <c r="H7" s="27" t="s">
        <v>336</v>
      </c>
      <c r="I7" s="27" t="s">
        <v>150</v>
      </c>
      <c r="J7" s="27" t="s">
        <v>337</v>
      </c>
      <c r="K7" s="27" t="s">
        <v>338</v>
      </c>
      <c r="L7" s="27" t="s">
        <v>339</v>
      </c>
      <c r="M7" s="27" t="s">
        <v>340</v>
      </c>
      <c r="N7" s="27" t="s">
        <v>189</v>
      </c>
      <c r="O7" s="27" t="s">
        <v>341</v>
      </c>
      <c r="P7" s="27" t="s">
        <v>141</v>
      </c>
      <c r="Q7" s="27" t="s">
        <v>342</v>
      </c>
      <c r="R7" s="27"/>
      <c r="S7" s="27"/>
      <c r="T7" s="27"/>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7"/>
      <c r="D8" s="27"/>
      <c r="E8" s="27"/>
      <c r="F8" s="27"/>
      <c r="G8" s="27"/>
      <c r="H8" s="27"/>
      <c r="I8" s="27"/>
      <c r="J8" s="27"/>
      <c r="K8" s="27"/>
      <c r="L8" s="27"/>
      <c r="M8" s="27"/>
      <c r="N8" s="27"/>
      <c r="O8" s="27"/>
      <c r="P8" s="27"/>
      <c r="Q8" s="27"/>
      <c r="R8" s="27"/>
      <c r="S8" s="27"/>
      <c r="T8" s="27"/>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7"/>
      <c r="D9" s="27"/>
      <c r="E9" s="27"/>
      <c r="F9" s="27"/>
      <c r="G9" s="27"/>
      <c r="H9" s="27"/>
      <c r="I9" s="27"/>
      <c r="J9" s="27"/>
      <c r="K9" s="27"/>
      <c r="L9" s="27"/>
      <c r="M9" s="27"/>
      <c r="N9" s="27"/>
      <c r="O9" s="27"/>
      <c r="P9" s="27"/>
      <c r="Q9" s="27"/>
      <c r="R9" s="27"/>
      <c r="S9" s="27"/>
      <c r="T9" s="27"/>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7"/>
      <c r="D10" s="27"/>
      <c r="E10" s="27"/>
      <c r="F10" s="27"/>
      <c r="G10" s="27"/>
      <c r="H10" s="27"/>
      <c r="I10" s="27"/>
      <c r="J10" s="27"/>
      <c r="K10" s="27"/>
      <c r="L10" s="27"/>
      <c r="M10" s="27"/>
      <c r="N10" s="27"/>
      <c r="O10" s="27"/>
      <c r="P10" s="27"/>
      <c r="Q10" s="27"/>
      <c r="R10" s="27"/>
      <c r="S10" s="27"/>
      <c r="T10" s="27"/>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7"/>
      <c r="D11" s="27"/>
      <c r="E11" s="27"/>
      <c r="F11" s="27"/>
      <c r="G11" s="27"/>
      <c r="H11" s="27"/>
      <c r="I11" s="27"/>
      <c r="J11" s="27"/>
      <c r="K11" s="27"/>
      <c r="L11" s="27"/>
      <c r="M11" s="27"/>
      <c r="N11" s="27"/>
      <c r="O11" s="27"/>
      <c r="P11" s="27"/>
      <c r="Q11" s="27"/>
      <c r="R11" s="27"/>
      <c r="S11" s="27"/>
      <c r="T11" s="27"/>
    </row>
    <row r="12" spans="1:52" x14ac:dyDescent="0.25">
      <c r="A12" s="27"/>
      <c r="B12" s="27"/>
      <c r="C12" s="27"/>
      <c r="D12" s="27"/>
      <c r="E12" s="27"/>
      <c r="F12" s="27"/>
      <c r="G12" s="27"/>
      <c r="H12" s="27"/>
      <c r="I12" s="27"/>
      <c r="J12" s="27"/>
      <c r="K12" s="27"/>
      <c r="L12" s="27"/>
      <c r="M12" s="27"/>
      <c r="N12" s="27"/>
      <c r="O12" s="27"/>
      <c r="P12" s="27"/>
      <c r="Q12" s="27"/>
      <c r="R12" s="27"/>
      <c r="S12" s="27"/>
      <c r="T12" s="27"/>
    </row>
    <row r="13" spans="1:52" x14ac:dyDescent="0.25">
      <c r="A13" s="27"/>
      <c r="B13" s="27"/>
      <c r="C13" s="27"/>
      <c r="D13" s="27"/>
      <c r="E13" s="27"/>
      <c r="F13" s="27"/>
      <c r="G13" s="27"/>
      <c r="H13" s="27"/>
      <c r="I13" s="27"/>
      <c r="J13" s="27"/>
      <c r="K13" s="27"/>
      <c r="L13" s="27"/>
      <c r="M13" s="27"/>
      <c r="N13" s="27"/>
      <c r="O13" s="27"/>
      <c r="P13" s="27"/>
      <c r="Q13" s="27"/>
      <c r="R13" s="27"/>
      <c r="S13" s="27"/>
      <c r="T13" s="27"/>
    </row>
    <row r="14" spans="1:52" x14ac:dyDescent="0.25">
      <c r="A14" s="27"/>
      <c r="B14" s="27"/>
      <c r="C14" s="27"/>
      <c r="D14" s="27"/>
      <c r="E14" s="27"/>
      <c r="F14" s="27"/>
      <c r="G14" s="27"/>
      <c r="H14" s="27"/>
      <c r="I14" s="27"/>
      <c r="J14" s="27"/>
      <c r="K14" s="27"/>
      <c r="L14" s="27"/>
      <c r="M14" s="27"/>
      <c r="N14" s="27"/>
      <c r="O14" s="27"/>
      <c r="P14" s="27"/>
      <c r="Q14" s="27"/>
      <c r="R14" s="27"/>
      <c r="S14" s="27"/>
      <c r="T14" s="27"/>
    </row>
    <row r="15" spans="1:52" x14ac:dyDescent="0.25">
      <c r="A15" s="27"/>
      <c r="B15" s="27"/>
      <c r="C15" s="27"/>
      <c r="D15" s="27"/>
      <c r="E15" s="27"/>
      <c r="F15" s="27"/>
      <c r="G15" s="27"/>
      <c r="H15" s="27"/>
      <c r="I15" s="27"/>
      <c r="J15" s="27"/>
      <c r="K15" s="27"/>
      <c r="L15" s="27"/>
      <c r="M15" s="27"/>
      <c r="N15" s="27"/>
      <c r="O15" s="27"/>
      <c r="P15" s="27"/>
      <c r="Q15" s="27"/>
      <c r="R15" s="27"/>
      <c r="S15" s="27"/>
      <c r="T15" s="27"/>
    </row>
    <row r="16" spans="1:52" x14ac:dyDescent="0.25">
      <c r="A16" s="27"/>
      <c r="B16" s="27"/>
      <c r="C16" s="27"/>
      <c r="D16" s="27"/>
      <c r="E16" s="27"/>
      <c r="F16" s="27"/>
      <c r="G16" s="27"/>
      <c r="H16" s="27"/>
      <c r="I16" s="27"/>
      <c r="J16" s="27"/>
      <c r="K16" s="27"/>
      <c r="L16" s="27"/>
      <c r="M16" s="27"/>
      <c r="N16" s="27"/>
      <c r="O16" s="27"/>
      <c r="P16" s="27"/>
      <c r="Q16" s="27"/>
      <c r="R16" s="27"/>
      <c r="S16" s="27"/>
      <c r="T16" s="27"/>
    </row>
    <row r="17" spans="1:20" x14ac:dyDescent="0.25">
      <c r="A17" s="27"/>
      <c r="B17" s="27"/>
      <c r="C17" s="27"/>
      <c r="D17" s="27"/>
      <c r="E17" s="27"/>
      <c r="F17" s="27"/>
      <c r="G17" s="27"/>
      <c r="H17" s="27"/>
      <c r="I17" s="27"/>
      <c r="J17" s="27"/>
      <c r="K17" s="27"/>
      <c r="L17" s="27"/>
      <c r="M17" s="27"/>
      <c r="N17" s="27"/>
      <c r="O17" s="27"/>
      <c r="P17" s="27"/>
      <c r="Q17" s="27"/>
      <c r="R17" s="27"/>
      <c r="S17" s="27"/>
      <c r="T17" s="27"/>
    </row>
    <row r="18" spans="1:20" x14ac:dyDescent="0.25">
      <c r="A18" s="27"/>
      <c r="B18" s="27"/>
      <c r="C18" s="27"/>
      <c r="D18" s="27"/>
      <c r="E18" s="27"/>
      <c r="F18" s="27"/>
      <c r="G18" s="27"/>
      <c r="H18" s="27"/>
      <c r="I18" s="27"/>
      <c r="J18" s="27"/>
      <c r="K18" s="27"/>
      <c r="L18" s="27"/>
      <c r="M18" s="27"/>
      <c r="N18" s="27"/>
      <c r="O18" s="27"/>
      <c r="P18" s="27"/>
      <c r="Q18" s="27"/>
      <c r="R18" s="27"/>
      <c r="S18" s="27"/>
      <c r="T18" s="27"/>
    </row>
    <row r="19" spans="1:20" x14ac:dyDescent="0.25">
      <c r="A19" s="27"/>
      <c r="B19" s="27"/>
      <c r="C19" s="27"/>
      <c r="D19" s="27"/>
      <c r="E19" s="27"/>
      <c r="F19" s="27"/>
      <c r="G19" s="27"/>
      <c r="H19" s="27"/>
      <c r="I19" s="27"/>
      <c r="J19" s="27"/>
      <c r="K19" s="27"/>
      <c r="L19" s="27"/>
      <c r="M19" s="27"/>
      <c r="N19" s="27"/>
      <c r="O19" s="27"/>
      <c r="P19" s="27"/>
      <c r="Q19" s="27"/>
      <c r="R19" s="27"/>
      <c r="S19" s="27"/>
      <c r="T19" s="27"/>
    </row>
    <row r="20" spans="1:20" x14ac:dyDescent="0.25">
      <c r="A20" s="27"/>
      <c r="B20" s="27"/>
      <c r="C20" s="27"/>
      <c r="D20" s="27"/>
      <c r="E20" s="27"/>
      <c r="F20" s="27"/>
      <c r="G20" s="27"/>
      <c r="H20" s="27"/>
      <c r="I20" s="27"/>
      <c r="J20" s="27"/>
      <c r="K20" s="27"/>
      <c r="L20" s="27"/>
      <c r="M20" s="27"/>
      <c r="N20" s="27"/>
      <c r="O20" s="27"/>
      <c r="P20" s="27"/>
      <c r="Q20" s="27"/>
      <c r="R20" s="27"/>
      <c r="S20" s="27"/>
      <c r="T20" s="27"/>
    </row>
    <row r="21" spans="1:20" x14ac:dyDescent="0.25">
      <c r="A21" s="27"/>
      <c r="B21" s="27"/>
      <c r="C21" s="27"/>
      <c r="D21" s="27"/>
      <c r="E21" s="27"/>
      <c r="F21" s="27"/>
      <c r="G21" s="27"/>
      <c r="H21" s="27"/>
      <c r="I21" s="27"/>
      <c r="J21" s="27"/>
      <c r="K21" s="27"/>
      <c r="L21" s="27"/>
      <c r="M21" s="27"/>
      <c r="N21" s="27"/>
      <c r="O21" s="27"/>
      <c r="P21" s="27"/>
      <c r="Q21" s="27"/>
      <c r="R21" s="27"/>
      <c r="S21" s="27"/>
      <c r="T21" s="27"/>
    </row>
    <row r="22" spans="1:20" x14ac:dyDescent="0.25">
      <c r="A22" s="27"/>
      <c r="B22" s="27"/>
      <c r="C22" s="27"/>
      <c r="D22" s="27"/>
      <c r="E22" s="27"/>
      <c r="F22" s="27"/>
      <c r="G22" s="27"/>
      <c r="H22" s="27"/>
      <c r="I22" s="27"/>
      <c r="J22" s="27"/>
      <c r="K22" s="27"/>
      <c r="L22" s="27"/>
      <c r="M22" s="27"/>
      <c r="N22" s="27"/>
      <c r="O22" s="27"/>
      <c r="P22" s="27"/>
      <c r="Q22" s="27"/>
      <c r="R22" s="27"/>
      <c r="S22" s="27"/>
      <c r="T22" s="27"/>
    </row>
    <row r="23" spans="1:20" x14ac:dyDescent="0.25">
      <c r="A23" s="27"/>
      <c r="B23" s="27"/>
      <c r="C23" s="27"/>
      <c r="D23" s="27"/>
      <c r="E23" s="27"/>
      <c r="F23" s="27"/>
      <c r="G23" s="27"/>
      <c r="H23" s="27"/>
      <c r="I23" s="27"/>
      <c r="J23" s="27"/>
      <c r="K23" s="27"/>
      <c r="L23" s="27"/>
      <c r="M23" s="27"/>
      <c r="N23" s="27"/>
      <c r="O23" s="27"/>
      <c r="P23" s="27"/>
      <c r="Q23" s="27"/>
      <c r="R23" s="27"/>
      <c r="S23" s="27"/>
      <c r="T23" s="27"/>
    </row>
    <row r="24" spans="1:20" x14ac:dyDescent="0.25">
      <c r="A24" s="27"/>
      <c r="B24" s="27"/>
      <c r="C24" s="27"/>
      <c r="D24" s="27"/>
      <c r="E24" s="27"/>
      <c r="F24" s="27"/>
      <c r="G24" s="27"/>
      <c r="H24" s="27"/>
      <c r="I24" s="27"/>
      <c r="J24" s="27"/>
      <c r="K24" s="27"/>
      <c r="L24" s="27"/>
      <c r="M24" s="27"/>
      <c r="N24" s="27"/>
      <c r="O24" s="27"/>
      <c r="P24" s="27"/>
      <c r="Q24" s="27"/>
      <c r="R24" s="27"/>
      <c r="S24" s="27"/>
      <c r="T24" s="27"/>
    </row>
    <row r="25" spans="1:20" x14ac:dyDescent="0.25">
      <c r="A25" s="27"/>
      <c r="B25" s="27"/>
      <c r="C25" s="27"/>
      <c r="D25" s="27"/>
      <c r="E25" s="27"/>
      <c r="F25" s="27"/>
      <c r="G25" s="27"/>
      <c r="H25" s="27"/>
      <c r="I25" s="27"/>
      <c r="J25" s="27"/>
      <c r="K25" s="27"/>
      <c r="L25" s="27"/>
      <c r="M25" s="27"/>
      <c r="N25" s="27"/>
      <c r="O25" s="27"/>
      <c r="P25" s="27"/>
      <c r="Q25" s="27"/>
      <c r="R25" s="27"/>
      <c r="S25" s="27"/>
      <c r="T25" s="27"/>
    </row>
    <row r="26" spans="1:20" x14ac:dyDescent="0.25">
      <c r="A26" s="27"/>
      <c r="B26" s="27"/>
      <c r="C26" s="27"/>
      <c r="D26" s="27"/>
      <c r="E26" s="27"/>
      <c r="F26" s="27"/>
      <c r="G26" s="27"/>
      <c r="H26" s="27"/>
      <c r="I26" s="27"/>
      <c r="J26" s="27"/>
      <c r="K26" s="27"/>
      <c r="L26" s="27"/>
      <c r="M26" s="27"/>
      <c r="N26" s="27"/>
      <c r="O26" s="27"/>
      <c r="P26" s="27"/>
      <c r="Q26" s="27"/>
      <c r="R26" s="27"/>
      <c r="S26" s="27"/>
      <c r="T26" s="27"/>
    </row>
    <row r="27" spans="1:20" x14ac:dyDescent="0.25">
      <c r="A27" s="27"/>
      <c r="B27" s="27"/>
      <c r="C27" s="27"/>
      <c r="D27" s="27"/>
      <c r="E27" s="27"/>
      <c r="F27" s="27"/>
      <c r="G27" s="27"/>
      <c r="H27" s="27"/>
      <c r="I27" s="27"/>
      <c r="J27" s="27"/>
      <c r="K27" s="27"/>
      <c r="L27" s="27"/>
      <c r="M27" s="27"/>
      <c r="N27" s="27"/>
      <c r="O27" s="27"/>
      <c r="P27" s="27"/>
      <c r="Q27" s="27"/>
      <c r="R27" s="27"/>
      <c r="S27" s="27"/>
      <c r="T27" s="27"/>
    </row>
    <row r="28" spans="1:20" x14ac:dyDescent="0.25">
      <c r="A28" s="27"/>
      <c r="B28" s="27"/>
      <c r="C28" s="27"/>
      <c r="D28" s="27"/>
      <c r="E28" s="27"/>
      <c r="F28" s="27"/>
      <c r="G28" s="27"/>
      <c r="H28" s="27"/>
      <c r="I28" s="27"/>
      <c r="J28" s="27"/>
      <c r="K28" s="27"/>
      <c r="L28" s="27"/>
      <c r="M28" s="27"/>
      <c r="N28" s="27"/>
      <c r="O28" s="27"/>
      <c r="P28" s="27"/>
      <c r="Q28" s="27"/>
      <c r="R28" s="27"/>
      <c r="S28" s="27"/>
      <c r="T28" s="27"/>
    </row>
    <row r="29" spans="1:20" x14ac:dyDescent="0.25">
      <c r="A29" s="27"/>
      <c r="B29" s="27"/>
      <c r="C29" s="27"/>
      <c r="D29" s="27"/>
      <c r="E29" s="27"/>
      <c r="F29" s="27"/>
      <c r="G29" s="27"/>
      <c r="H29" s="27"/>
      <c r="I29" s="27"/>
      <c r="J29" s="27"/>
      <c r="K29" s="27"/>
      <c r="L29" s="27"/>
      <c r="M29" s="27"/>
      <c r="N29" s="27"/>
      <c r="O29" s="27"/>
      <c r="P29" s="27"/>
      <c r="Q29" s="27"/>
      <c r="R29" s="27"/>
      <c r="S29" s="27"/>
      <c r="T29" s="27"/>
    </row>
    <row r="30" spans="1:20" x14ac:dyDescent="0.25">
      <c r="A30" s="27"/>
      <c r="B30" s="27"/>
      <c r="C30" s="27"/>
      <c r="D30" s="27"/>
      <c r="E30" s="27"/>
      <c r="F30" s="27"/>
      <c r="G30" s="27"/>
      <c r="H30" s="27"/>
      <c r="I30" s="27"/>
      <c r="J30" s="27"/>
      <c r="K30" s="27"/>
      <c r="L30" s="27"/>
      <c r="M30" s="27"/>
      <c r="N30" s="27"/>
      <c r="O30" s="27"/>
      <c r="P30" s="27"/>
      <c r="Q30" s="27"/>
      <c r="R30" s="27"/>
      <c r="S30" s="27"/>
      <c r="T30" s="27"/>
    </row>
    <row r="31" spans="1:20" x14ac:dyDescent="0.25">
      <c r="A31" s="27"/>
      <c r="B31" s="27"/>
      <c r="C31" s="27"/>
      <c r="D31" s="27"/>
      <c r="E31" s="27"/>
      <c r="F31" s="27"/>
      <c r="G31" s="27"/>
      <c r="H31" s="27"/>
      <c r="I31" s="27"/>
      <c r="J31" s="27"/>
      <c r="K31" s="27"/>
      <c r="L31" s="27"/>
      <c r="M31" s="27"/>
      <c r="N31" s="27"/>
      <c r="O31" s="27"/>
      <c r="P31" s="27"/>
      <c r="Q31" s="27"/>
      <c r="R31" s="27"/>
      <c r="S31" s="27"/>
      <c r="T31" s="27"/>
    </row>
    <row r="32" spans="1:20" x14ac:dyDescent="0.25">
      <c r="A32" s="27"/>
      <c r="B32" s="27"/>
      <c r="C32" s="27"/>
      <c r="D32" s="27"/>
      <c r="E32" s="27"/>
      <c r="F32" s="27"/>
      <c r="G32" s="27"/>
      <c r="H32" s="27"/>
      <c r="I32" s="27"/>
      <c r="J32" s="27"/>
      <c r="K32" s="27"/>
      <c r="L32" s="27"/>
      <c r="M32" s="27"/>
      <c r="N32" s="27"/>
      <c r="O32" s="27"/>
      <c r="P32" s="27"/>
      <c r="Q32" s="27"/>
      <c r="R32" s="27"/>
      <c r="S32" s="27"/>
      <c r="T32" s="27"/>
    </row>
    <row r="33" spans="1:20" x14ac:dyDescent="0.25">
      <c r="A33" s="27"/>
      <c r="B33" s="27"/>
      <c r="C33" s="27"/>
      <c r="D33" s="27"/>
      <c r="E33" s="27"/>
      <c r="F33" s="27"/>
      <c r="G33" s="27"/>
      <c r="H33" s="27"/>
      <c r="I33" s="27"/>
      <c r="J33" s="27"/>
      <c r="K33" s="27"/>
      <c r="L33" s="27"/>
      <c r="M33" s="27"/>
      <c r="N33" s="27"/>
      <c r="O33" s="27"/>
      <c r="P33" s="27"/>
      <c r="Q33" s="27"/>
      <c r="R33" s="27"/>
      <c r="S33" s="27"/>
      <c r="T33" s="27"/>
    </row>
    <row r="34" spans="1:20" x14ac:dyDescent="0.25">
      <c r="A34" s="27"/>
      <c r="B34" s="27"/>
      <c r="C34" s="27"/>
      <c r="D34" s="27"/>
      <c r="E34" s="27"/>
      <c r="F34" s="27"/>
      <c r="G34" s="27"/>
      <c r="H34" s="27"/>
      <c r="I34" s="27"/>
      <c r="J34" s="27"/>
      <c r="K34" s="27"/>
      <c r="L34" s="27"/>
      <c r="M34" s="27"/>
      <c r="N34" s="27"/>
      <c r="O34" s="27"/>
      <c r="P34" s="27"/>
      <c r="Q34" s="27"/>
      <c r="R34" s="27"/>
      <c r="S34" s="27"/>
      <c r="T34" s="27"/>
    </row>
    <row r="35" spans="1:20" x14ac:dyDescent="0.25">
      <c r="A35" s="27"/>
      <c r="B35" s="27"/>
      <c r="C35" s="27"/>
      <c r="D35" s="27"/>
      <c r="E35" s="27"/>
      <c r="F35" s="27"/>
      <c r="G35" s="27"/>
      <c r="H35" s="27"/>
      <c r="I35" s="27"/>
      <c r="J35" s="27"/>
      <c r="K35" s="27"/>
      <c r="L35" s="27"/>
      <c r="M35" s="27"/>
      <c r="N35" s="27"/>
      <c r="O35" s="27"/>
      <c r="P35" s="27"/>
      <c r="Q35" s="27"/>
      <c r="R35" s="27"/>
      <c r="S35" s="27"/>
      <c r="T35" s="27"/>
    </row>
    <row r="36" spans="1:20" x14ac:dyDescent="0.25">
      <c r="A36" s="27"/>
      <c r="B36" s="27"/>
      <c r="C36" s="27"/>
      <c r="D36" s="27"/>
      <c r="E36" s="27"/>
      <c r="F36" s="27"/>
      <c r="G36" s="27"/>
      <c r="H36" s="27"/>
      <c r="I36" s="27"/>
      <c r="J36" s="27"/>
      <c r="K36" s="27"/>
      <c r="L36" s="27"/>
      <c r="M36" s="27"/>
      <c r="N36" s="27"/>
      <c r="O36" s="27"/>
      <c r="P36" s="27"/>
      <c r="Q36" s="27"/>
      <c r="R36" s="27"/>
      <c r="S36" s="27"/>
      <c r="T36" s="27"/>
    </row>
    <row r="37" spans="1:20" x14ac:dyDescent="0.25">
      <c r="A37" s="27"/>
      <c r="B37" s="27"/>
      <c r="C37" s="27"/>
      <c r="D37" s="27"/>
      <c r="E37" s="27"/>
      <c r="F37" s="27"/>
      <c r="G37" s="27"/>
      <c r="H37" s="27"/>
      <c r="I37" s="27"/>
      <c r="J37" s="27"/>
      <c r="K37" s="27"/>
      <c r="L37" s="27"/>
      <c r="M37" s="27"/>
      <c r="N37" s="27"/>
      <c r="O37" s="27"/>
      <c r="P37" s="27"/>
      <c r="Q37" s="27"/>
      <c r="R37" s="27"/>
      <c r="S37" s="27"/>
      <c r="T37" s="27"/>
    </row>
    <row r="38" spans="1:20" x14ac:dyDescent="0.25">
      <c r="A38" s="27"/>
      <c r="B38" s="27"/>
      <c r="C38" s="27"/>
      <c r="D38" s="27"/>
      <c r="E38" s="27"/>
      <c r="F38" s="27"/>
      <c r="G38" s="27"/>
      <c r="H38" s="27"/>
      <c r="I38" s="27"/>
      <c r="J38" s="27"/>
      <c r="K38" s="27"/>
      <c r="L38" s="27"/>
      <c r="M38" s="27"/>
      <c r="N38" s="27"/>
      <c r="O38" s="27"/>
      <c r="P38" s="27"/>
      <c r="Q38" s="27"/>
      <c r="R38" s="27"/>
      <c r="S38" s="27"/>
      <c r="T38" s="27"/>
    </row>
    <row r="39" spans="1:20" x14ac:dyDescent="0.25">
      <c r="A39" s="27"/>
      <c r="B39" s="27"/>
      <c r="C39" s="27"/>
      <c r="D39" s="27"/>
      <c r="E39" s="27"/>
      <c r="F39" s="27"/>
      <c r="G39" s="27"/>
      <c r="H39" s="27"/>
      <c r="I39" s="27"/>
      <c r="J39" s="27"/>
      <c r="K39" s="27"/>
      <c r="L39" s="27"/>
      <c r="M39" s="27"/>
      <c r="N39" s="27"/>
      <c r="O39" s="27"/>
      <c r="P39" s="27"/>
      <c r="Q39" s="27"/>
      <c r="R39" s="27"/>
      <c r="S39" s="27"/>
      <c r="T39" s="27"/>
    </row>
    <row r="40" spans="1:20" x14ac:dyDescent="0.25">
      <c r="A40" s="27"/>
      <c r="B40" s="27"/>
      <c r="C40" s="27"/>
      <c r="D40" s="27"/>
      <c r="E40" s="27"/>
      <c r="F40" s="27"/>
      <c r="G40" s="27"/>
      <c r="H40" s="27"/>
      <c r="I40" s="27"/>
      <c r="J40" s="27"/>
      <c r="K40" s="27"/>
      <c r="L40" s="27"/>
      <c r="M40" s="27"/>
      <c r="N40" s="27"/>
      <c r="O40" s="27"/>
      <c r="P40" s="27"/>
      <c r="Q40" s="27"/>
      <c r="R40" s="27"/>
      <c r="S40" s="27"/>
      <c r="T40" s="27"/>
    </row>
    <row r="41" spans="1:20" x14ac:dyDescent="0.25">
      <c r="A41" s="27"/>
      <c r="B41" s="27"/>
      <c r="C41" s="27"/>
      <c r="D41" s="27"/>
      <c r="E41" s="27"/>
      <c r="F41" s="27"/>
      <c r="G41" s="27"/>
      <c r="H41" s="27"/>
      <c r="I41" s="27"/>
      <c r="J41" s="27"/>
      <c r="K41" s="27"/>
      <c r="L41" s="27"/>
      <c r="M41" s="27"/>
      <c r="N41" s="27"/>
      <c r="O41" s="27"/>
      <c r="P41" s="27"/>
      <c r="Q41" s="27"/>
      <c r="R41" s="27"/>
      <c r="S41" s="27"/>
      <c r="T41" s="27"/>
    </row>
    <row r="42" spans="1:20" x14ac:dyDescent="0.25">
      <c r="A42" s="27"/>
      <c r="B42" s="27"/>
      <c r="C42" s="27"/>
      <c r="D42" s="27"/>
      <c r="E42" s="27"/>
      <c r="F42" s="27"/>
      <c r="G42" s="27"/>
      <c r="H42" s="27"/>
      <c r="I42" s="27"/>
      <c r="J42" s="27"/>
      <c r="K42" s="27"/>
      <c r="L42" s="27"/>
      <c r="M42" s="27"/>
      <c r="N42" s="27"/>
      <c r="O42" s="27"/>
      <c r="P42" s="27"/>
      <c r="Q42" s="27"/>
      <c r="R42" s="27"/>
      <c r="S42" s="27"/>
      <c r="T42" s="27"/>
    </row>
    <row r="43" spans="1:20" x14ac:dyDescent="0.25">
      <c r="A43" s="27"/>
      <c r="B43" s="27"/>
      <c r="C43" s="27"/>
      <c r="D43" s="27"/>
      <c r="E43" s="27"/>
      <c r="F43" s="27"/>
      <c r="G43" s="27"/>
      <c r="H43" s="27"/>
      <c r="I43" s="27"/>
      <c r="J43" s="27"/>
      <c r="K43" s="27"/>
      <c r="L43" s="27"/>
      <c r="M43" s="27"/>
      <c r="N43" s="27"/>
      <c r="O43" s="27"/>
      <c r="P43" s="27"/>
      <c r="Q43" s="27"/>
      <c r="R43" s="27"/>
      <c r="S43" s="27"/>
      <c r="T43" s="27"/>
    </row>
    <row r="44" spans="1:20" x14ac:dyDescent="0.25">
      <c r="A44" s="27"/>
      <c r="B44" s="27"/>
      <c r="C44" s="27"/>
      <c r="D44" s="27"/>
      <c r="E44" s="27"/>
      <c r="F44" s="27"/>
      <c r="G44" s="27"/>
      <c r="H44" s="27"/>
      <c r="I44" s="27"/>
      <c r="J44" s="27"/>
      <c r="K44" s="27"/>
      <c r="L44" s="27"/>
      <c r="M44" s="27"/>
      <c r="N44" s="27"/>
      <c r="O44" s="27"/>
      <c r="P44" s="27"/>
      <c r="Q44" s="27"/>
      <c r="R44" s="27"/>
      <c r="S44" s="27"/>
      <c r="T44" s="27"/>
    </row>
    <row r="45" spans="1:20" x14ac:dyDescent="0.25">
      <c r="A45" s="27"/>
      <c r="B45" s="27"/>
      <c r="C45" s="27"/>
      <c r="D45" s="27"/>
      <c r="E45" s="27"/>
      <c r="F45" s="27"/>
      <c r="G45" s="27"/>
      <c r="H45" s="27"/>
      <c r="I45" s="27"/>
      <c r="J45" s="27"/>
      <c r="K45" s="27"/>
      <c r="L45" s="27"/>
      <c r="M45" s="27"/>
      <c r="N45" s="27"/>
      <c r="O45" s="27"/>
      <c r="P45" s="27"/>
      <c r="Q45" s="27"/>
      <c r="R45" s="27"/>
      <c r="S45" s="27"/>
      <c r="T45" s="27"/>
    </row>
    <row r="46" spans="1:20" x14ac:dyDescent="0.25">
      <c r="A46" s="27"/>
      <c r="B46" s="27"/>
      <c r="C46" s="27"/>
      <c r="D46" s="27"/>
      <c r="E46" s="27"/>
      <c r="F46" s="27"/>
      <c r="G46" s="27"/>
      <c r="H46" s="27"/>
      <c r="I46" s="27"/>
      <c r="J46" s="27"/>
      <c r="K46" s="27"/>
      <c r="L46" s="27"/>
      <c r="M46" s="27"/>
      <c r="N46" s="27"/>
      <c r="O46" s="27"/>
      <c r="P46" s="27"/>
      <c r="Q46" s="27"/>
      <c r="R46" s="27"/>
      <c r="S46" s="27"/>
      <c r="T46" s="27"/>
    </row>
    <row r="47" spans="1:20" x14ac:dyDescent="0.25">
      <c r="A47" s="27"/>
      <c r="B47" s="27"/>
      <c r="C47" s="27"/>
      <c r="D47" s="27"/>
      <c r="E47" s="27"/>
      <c r="F47" s="27"/>
      <c r="G47" s="27"/>
      <c r="H47" s="27"/>
      <c r="I47" s="27"/>
      <c r="J47" s="27"/>
      <c r="K47" s="27"/>
      <c r="L47" s="27"/>
      <c r="M47" s="27"/>
      <c r="N47" s="27"/>
      <c r="O47" s="27"/>
      <c r="P47" s="27"/>
      <c r="Q47" s="27"/>
      <c r="R47" s="27"/>
      <c r="S47" s="27"/>
      <c r="T47" s="27"/>
    </row>
    <row r="48" spans="1:20" x14ac:dyDescent="0.25">
      <c r="A48" s="27"/>
      <c r="B48" s="27"/>
      <c r="C48" s="27"/>
      <c r="D48" s="27"/>
      <c r="E48" s="27"/>
      <c r="F48" s="27"/>
      <c r="G48" s="27"/>
      <c r="H48" s="27"/>
      <c r="I48" s="27"/>
      <c r="J48" s="27"/>
      <c r="K48" s="27"/>
      <c r="L48" s="27"/>
      <c r="M48" s="27"/>
      <c r="N48" s="27"/>
      <c r="O48" s="27"/>
      <c r="P48" s="27"/>
      <c r="Q48" s="27"/>
      <c r="R48" s="27"/>
      <c r="S48" s="27"/>
      <c r="T48" s="27"/>
    </row>
    <row r="49" spans="1:20" x14ac:dyDescent="0.25">
      <c r="A49" s="27"/>
      <c r="B49" s="27"/>
      <c r="C49" s="27"/>
      <c r="D49" s="27"/>
      <c r="E49" s="27"/>
      <c r="F49" s="27"/>
      <c r="G49" s="27"/>
      <c r="H49" s="27"/>
      <c r="I49" s="27"/>
      <c r="J49" s="27"/>
      <c r="K49" s="27"/>
      <c r="L49" s="27"/>
      <c r="M49" s="27"/>
      <c r="N49" s="27"/>
      <c r="O49" s="27"/>
      <c r="P49" s="27"/>
      <c r="Q49" s="27"/>
      <c r="R49" s="27"/>
      <c r="S49" s="27"/>
      <c r="T49" s="27"/>
    </row>
    <row r="50" spans="1:20" x14ac:dyDescent="0.25">
      <c r="A50" s="27"/>
      <c r="B50" s="27"/>
      <c r="C50" s="27"/>
      <c r="D50" s="27"/>
      <c r="E50" s="27"/>
      <c r="F50" s="27"/>
      <c r="G50" s="27"/>
      <c r="H50" s="27"/>
      <c r="I50" s="27"/>
      <c r="J50" s="27"/>
      <c r="K50" s="27"/>
      <c r="L50" s="27"/>
      <c r="M50" s="27"/>
      <c r="N50" s="27"/>
      <c r="O50" s="27"/>
      <c r="P50" s="27"/>
      <c r="Q50" s="27"/>
      <c r="R50" s="27"/>
      <c r="S50" s="27"/>
      <c r="T50" s="27"/>
    </row>
    <row r="51" spans="1:20" x14ac:dyDescent="0.25">
      <c r="A51" s="27"/>
      <c r="B51" s="27"/>
      <c r="C51" s="27"/>
      <c r="D51" s="27"/>
      <c r="E51" s="27"/>
      <c r="F51" s="27"/>
      <c r="G51" s="27"/>
      <c r="H51" s="27"/>
      <c r="I51" s="27"/>
      <c r="J51" s="27"/>
      <c r="K51" s="27"/>
      <c r="L51" s="27"/>
      <c r="M51" s="27"/>
      <c r="N51" s="27"/>
      <c r="O51" s="27"/>
      <c r="P51" s="27"/>
      <c r="Q51" s="27"/>
      <c r="R51" s="27"/>
      <c r="S51" s="27"/>
      <c r="T51" s="27"/>
    </row>
    <row r="52" spans="1:20" x14ac:dyDescent="0.25">
      <c r="A52" s="27"/>
      <c r="B52" s="27"/>
      <c r="C52" s="27"/>
      <c r="D52" s="27"/>
      <c r="E52" s="27"/>
      <c r="F52" s="27"/>
      <c r="G52" s="27"/>
      <c r="H52" s="27"/>
      <c r="I52" s="27"/>
      <c r="J52" s="27"/>
      <c r="K52" s="27"/>
      <c r="L52" s="27"/>
      <c r="M52" s="27"/>
      <c r="N52" s="27"/>
      <c r="O52" s="27"/>
      <c r="P52" s="27"/>
      <c r="Q52" s="27"/>
      <c r="R52" s="27"/>
      <c r="S52" s="27"/>
      <c r="T52" s="27"/>
    </row>
    <row r="53" spans="1:20" x14ac:dyDescent="0.25">
      <c r="A53" s="27"/>
      <c r="B53" s="27"/>
      <c r="C53" s="27"/>
      <c r="D53" s="27"/>
      <c r="E53" s="27"/>
      <c r="F53" s="27"/>
      <c r="G53" s="27"/>
      <c r="H53" s="27"/>
      <c r="I53" s="27"/>
      <c r="J53" s="27"/>
      <c r="K53" s="27"/>
      <c r="L53" s="27"/>
      <c r="M53" s="27"/>
      <c r="N53" s="27"/>
      <c r="O53" s="27"/>
      <c r="P53" s="27"/>
      <c r="Q53" s="27"/>
      <c r="R53" s="27"/>
      <c r="S53" s="27"/>
      <c r="T53" s="27"/>
    </row>
    <row r="54" spans="1:20" x14ac:dyDescent="0.25">
      <c r="A54" s="27"/>
      <c r="B54" s="27"/>
      <c r="C54" s="27"/>
      <c r="D54" s="27"/>
      <c r="E54" s="27"/>
      <c r="F54" s="27"/>
      <c r="G54" s="27"/>
      <c r="H54" s="27"/>
      <c r="I54" s="27"/>
      <c r="J54" s="27"/>
      <c r="K54" s="27"/>
      <c r="L54" s="27"/>
      <c r="M54" s="27"/>
      <c r="N54" s="27"/>
      <c r="O54" s="27"/>
      <c r="P54" s="27"/>
      <c r="Q54" s="27"/>
      <c r="R54" s="27"/>
      <c r="S54" s="27"/>
      <c r="T54" s="27"/>
    </row>
    <row r="55" spans="1:20" x14ac:dyDescent="0.25">
      <c r="A55" s="27"/>
      <c r="B55" s="27"/>
      <c r="C55" s="27"/>
      <c r="D55" s="27"/>
      <c r="E55" s="27"/>
      <c r="F55" s="27"/>
      <c r="G55" s="27"/>
      <c r="H55" s="27"/>
      <c r="I55" s="27"/>
      <c r="J55" s="27"/>
      <c r="K55" s="27"/>
      <c r="L55" s="27"/>
      <c r="M55" s="27"/>
      <c r="N55" s="27"/>
      <c r="O55" s="27"/>
      <c r="P55" s="27"/>
      <c r="Q55" s="27"/>
      <c r="R55" s="27"/>
      <c r="S55" s="27"/>
      <c r="T55" s="27"/>
    </row>
    <row r="56" spans="1:20" x14ac:dyDescent="0.25">
      <c r="A56" s="27"/>
      <c r="B56" s="27"/>
      <c r="C56" s="27"/>
      <c r="D56" s="27"/>
      <c r="E56" s="27"/>
      <c r="F56" s="27"/>
      <c r="G56" s="27"/>
      <c r="H56" s="27"/>
      <c r="I56" s="27"/>
      <c r="J56" s="27"/>
      <c r="K56" s="27"/>
      <c r="L56" s="27"/>
      <c r="M56" s="27"/>
      <c r="N56" s="27"/>
      <c r="O56" s="27"/>
      <c r="P56" s="27"/>
      <c r="Q56" s="27"/>
      <c r="R56" s="27"/>
      <c r="S56" s="27"/>
      <c r="T56" s="27"/>
    </row>
    <row r="57" spans="1:20" x14ac:dyDescent="0.25">
      <c r="A57" s="27"/>
      <c r="B57" s="27"/>
      <c r="C57" s="27"/>
      <c r="D57" s="27"/>
      <c r="E57" s="27"/>
      <c r="F57" s="27"/>
      <c r="G57" s="27"/>
      <c r="H57" s="27"/>
      <c r="I57" s="27"/>
      <c r="J57" s="27"/>
      <c r="K57" s="27"/>
      <c r="L57" s="27"/>
      <c r="M57" s="27"/>
      <c r="N57" s="27"/>
      <c r="O57" s="27"/>
      <c r="P57" s="27"/>
      <c r="Q57" s="27"/>
      <c r="R57" s="27"/>
      <c r="S57" s="27"/>
      <c r="T57" s="27"/>
    </row>
    <row r="58" spans="1:20" x14ac:dyDescent="0.25">
      <c r="A58" s="27"/>
      <c r="B58" s="27"/>
      <c r="C58" s="27"/>
      <c r="D58" s="27"/>
      <c r="E58" s="27"/>
      <c r="F58" s="27"/>
      <c r="G58" s="27"/>
      <c r="H58" s="27"/>
      <c r="I58" s="27"/>
      <c r="J58" s="27"/>
      <c r="K58" s="27"/>
      <c r="L58" s="27"/>
      <c r="M58" s="27"/>
      <c r="N58" s="27"/>
      <c r="O58" s="27"/>
      <c r="P58" s="27"/>
      <c r="Q58" s="27"/>
      <c r="R58" s="27"/>
      <c r="S58" s="27"/>
      <c r="T58" s="27"/>
    </row>
    <row r="59" spans="1:20" x14ac:dyDescent="0.25">
      <c r="A59" s="27"/>
      <c r="B59" s="27"/>
      <c r="C59" s="27"/>
      <c r="D59" s="27"/>
      <c r="E59" s="27"/>
      <c r="F59" s="27"/>
      <c r="G59" s="27"/>
      <c r="H59" s="27"/>
      <c r="I59" s="27"/>
      <c r="J59" s="27"/>
      <c r="K59" s="27"/>
      <c r="L59" s="27"/>
      <c r="M59" s="27"/>
      <c r="N59" s="27"/>
      <c r="O59" s="27"/>
      <c r="P59" s="27"/>
      <c r="Q59" s="27"/>
      <c r="R59" s="27"/>
      <c r="S59" s="27"/>
      <c r="T59" s="27"/>
    </row>
    <row r="60" spans="1:20" x14ac:dyDescent="0.25">
      <c r="A60" s="27"/>
      <c r="B60" s="27"/>
      <c r="C60" s="27"/>
      <c r="D60" s="27"/>
      <c r="E60" s="27"/>
      <c r="F60" s="27"/>
      <c r="G60" s="27"/>
      <c r="H60" s="27"/>
      <c r="I60" s="27"/>
      <c r="J60" s="27"/>
      <c r="K60" s="27"/>
      <c r="L60" s="27"/>
      <c r="M60" s="27"/>
      <c r="N60" s="27"/>
      <c r="O60" s="27"/>
      <c r="P60" s="27"/>
      <c r="Q60" s="27"/>
      <c r="R60" s="27"/>
      <c r="S60" s="27"/>
      <c r="T60" s="27"/>
    </row>
    <row r="61" spans="1:20" x14ac:dyDescent="0.25">
      <c r="A61" s="27"/>
      <c r="B61" s="27"/>
      <c r="C61" s="27"/>
      <c r="D61" s="27"/>
      <c r="E61" s="27"/>
      <c r="F61" s="27"/>
      <c r="G61" s="27"/>
      <c r="H61" s="27"/>
      <c r="I61" s="27"/>
      <c r="J61" s="27"/>
      <c r="K61" s="27"/>
      <c r="L61" s="27"/>
      <c r="M61" s="27"/>
      <c r="N61" s="27"/>
      <c r="O61" s="27"/>
      <c r="P61" s="27"/>
      <c r="Q61" s="27"/>
      <c r="R61" s="27"/>
      <c r="S61" s="27"/>
      <c r="T61" s="27"/>
    </row>
    <row r="62" spans="1:20" x14ac:dyDescent="0.25">
      <c r="A62" s="27"/>
      <c r="B62" s="27"/>
      <c r="C62" s="27"/>
      <c r="D62" s="27"/>
      <c r="E62" s="27"/>
      <c r="F62" s="27"/>
      <c r="G62" s="27"/>
      <c r="H62" s="27"/>
      <c r="I62" s="27"/>
      <c r="J62" s="27"/>
      <c r="K62" s="27"/>
      <c r="L62" s="27"/>
      <c r="M62" s="27"/>
      <c r="N62" s="27"/>
      <c r="O62" s="27"/>
      <c r="P62" s="27"/>
      <c r="Q62" s="27"/>
      <c r="R62" s="27"/>
      <c r="S62" s="27"/>
      <c r="T62" s="27"/>
    </row>
    <row r="63" spans="1:20" x14ac:dyDescent="0.25">
      <c r="A63" s="27"/>
      <c r="B63" s="27"/>
      <c r="C63" s="27"/>
      <c r="D63" s="27"/>
      <c r="E63" s="27"/>
      <c r="F63" s="27"/>
      <c r="G63" s="27"/>
      <c r="H63" s="27"/>
      <c r="I63" s="27"/>
      <c r="J63" s="27"/>
      <c r="K63" s="27"/>
      <c r="L63" s="27"/>
      <c r="M63" s="27"/>
      <c r="N63" s="27"/>
      <c r="O63" s="27"/>
      <c r="P63" s="27"/>
      <c r="Q63" s="27"/>
      <c r="R63" s="27"/>
      <c r="S63" s="27"/>
      <c r="T63" s="27"/>
    </row>
    <row r="64" spans="1:20" x14ac:dyDescent="0.25">
      <c r="A64" s="27"/>
      <c r="B64" s="27"/>
      <c r="C64" s="27"/>
      <c r="D64" s="27"/>
      <c r="E64" s="27"/>
      <c r="F64" s="27"/>
      <c r="G64" s="27"/>
      <c r="H64" s="27"/>
      <c r="I64" s="27"/>
      <c r="J64" s="27"/>
      <c r="K64" s="27"/>
      <c r="L64" s="27"/>
      <c r="M64" s="27"/>
      <c r="N64" s="27"/>
      <c r="O64" s="27"/>
      <c r="P64" s="27"/>
      <c r="Q64" s="27"/>
      <c r="R64" s="27"/>
      <c r="S64" s="27"/>
      <c r="T64" s="27"/>
    </row>
    <row r="65" spans="1:20" x14ac:dyDescent="0.25">
      <c r="A65" s="27"/>
      <c r="B65" s="27"/>
      <c r="C65" s="27"/>
      <c r="D65" s="27"/>
      <c r="E65" s="27"/>
      <c r="F65" s="27"/>
      <c r="G65" s="27"/>
      <c r="H65" s="27"/>
      <c r="I65" s="27"/>
      <c r="J65" s="27"/>
      <c r="K65" s="27"/>
      <c r="L65" s="27"/>
      <c r="M65" s="27"/>
      <c r="N65" s="27"/>
      <c r="O65" s="27"/>
      <c r="P65" s="27"/>
      <c r="Q65" s="27"/>
      <c r="R65" s="27"/>
      <c r="S65" s="27"/>
      <c r="T65" s="27"/>
    </row>
    <row r="66" spans="1:20" x14ac:dyDescent="0.25">
      <c r="A66" s="27"/>
      <c r="B66" s="27"/>
      <c r="C66" s="27"/>
      <c r="D66" s="27"/>
      <c r="E66" s="27"/>
      <c r="F66" s="27"/>
      <c r="G66" s="27"/>
      <c r="H66" s="27"/>
      <c r="I66" s="27"/>
      <c r="J66" s="27"/>
      <c r="K66" s="27"/>
      <c r="L66" s="27"/>
      <c r="M66" s="27"/>
      <c r="N66" s="27"/>
      <c r="O66" s="27"/>
      <c r="P66" s="27"/>
      <c r="Q66" s="27"/>
      <c r="R66" s="27"/>
      <c r="S66" s="27"/>
      <c r="T66" s="27"/>
    </row>
    <row r="67" spans="1:20" x14ac:dyDescent="0.25">
      <c r="A67" s="27"/>
      <c r="B67" s="27"/>
      <c r="C67" s="27"/>
      <c r="D67" s="27"/>
      <c r="E67" s="27"/>
      <c r="F67" s="27"/>
      <c r="G67" s="27"/>
      <c r="H67" s="27"/>
      <c r="I67" s="27"/>
      <c r="J67" s="27"/>
      <c r="K67" s="27"/>
      <c r="L67" s="27"/>
      <c r="M67" s="27"/>
      <c r="N67" s="27"/>
      <c r="O67" s="27"/>
      <c r="P67" s="27"/>
      <c r="Q67" s="27"/>
      <c r="R67" s="27"/>
      <c r="S67" s="27"/>
      <c r="T67" s="27"/>
    </row>
    <row r="68" spans="1:20" x14ac:dyDescent="0.25">
      <c r="A68" s="27"/>
      <c r="B68" s="27"/>
      <c r="C68" s="27"/>
      <c r="D68" s="27"/>
      <c r="E68" s="27"/>
      <c r="F68" s="27"/>
      <c r="G68" s="27"/>
      <c r="H68" s="27"/>
      <c r="I68" s="27"/>
      <c r="J68" s="27"/>
      <c r="K68" s="27"/>
      <c r="L68" s="27"/>
      <c r="M68" s="27"/>
      <c r="N68" s="27"/>
      <c r="O68" s="27"/>
      <c r="P68" s="27"/>
      <c r="Q68" s="27"/>
      <c r="R68" s="27"/>
      <c r="S68" s="27"/>
      <c r="T68" s="27"/>
    </row>
    <row r="69" spans="1:20" x14ac:dyDescent="0.25">
      <c r="A69" s="27"/>
      <c r="B69" s="27"/>
      <c r="C69" s="27"/>
      <c r="D69" s="27"/>
      <c r="E69" s="27"/>
      <c r="F69" s="27"/>
      <c r="G69" s="27"/>
      <c r="H69" s="27"/>
      <c r="I69" s="27"/>
      <c r="J69" s="27"/>
      <c r="K69" s="27"/>
      <c r="L69" s="27"/>
      <c r="M69" s="27"/>
      <c r="N69" s="27"/>
      <c r="O69" s="27"/>
      <c r="P69" s="27"/>
      <c r="Q69" s="27"/>
      <c r="R69" s="27"/>
      <c r="S69" s="27"/>
      <c r="T69" s="27"/>
    </row>
    <row r="70" spans="1:20" x14ac:dyDescent="0.25">
      <c r="A70" s="27"/>
      <c r="B70" s="27"/>
      <c r="C70" s="27"/>
      <c r="D70" s="27"/>
      <c r="E70" s="27"/>
      <c r="F70" s="27"/>
      <c r="G70" s="27"/>
      <c r="H70" s="27"/>
      <c r="I70" s="27"/>
      <c r="J70" s="27"/>
      <c r="K70" s="27"/>
      <c r="L70" s="27"/>
      <c r="M70" s="27"/>
      <c r="N70" s="27"/>
      <c r="O70" s="27"/>
      <c r="P70" s="27"/>
      <c r="Q70" s="27"/>
      <c r="R70" s="27"/>
      <c r="S70" s="27"/>
      <c r="T70" s="27"/>
    </row>
    <row r="71" spans="1:20" x14ac:dyDescent="0.25">
      <c r="A71" s="27"/>
      <c r="B71" s="27"/>
      <c r="C71" s="27"/>
      <c r="D71" s="27"/>
      <c r="E71" s="27"/>
      <c r="F71" s="27"/>
      <c r="G71" s="27"/>
      <c r="H71" s="27"/>
      <c r="I71" s="27"/>
      <c r="J71" s="27"/>
      <c r="K71" s="27"/>
      <c r="L71" s="27"/>
      <c r="M71" s="27"/>
      <c r="N71" s="27"/>
      <c r="O71" s="27"/>
      <c r="P71" s="27"/>
      <c r="Q71" s="27"/>
      <c r="R71" s="27"/>
      <c r="S71" s="27"/>
      <c r="T71" s="27"/>
    </row>
    <row r="72" spans="1:20" x14ac:dyDescent="0.25">
      <c r="A72" s="27"/>
      <c r="B72" s="27"/>
      <c r="C72" s="27"/>
      <c r="D72" s="27"/>
      <c r="E72" s="27"/>
      <c r="F72" s="27"/>
      <c r="G72" s="27"/>
      <c r="H72" s="27"/>
      <c r="I72" s="27"/>
      <c r="J72" s="27"/>
      <c r="K72" s="27"/>
      <c r="L72" s="27"/>
      <c r="M72" s="27"/>
      <c r="N72" s="27"/>
      <c r="O72" s="27"/>
      <c r="P72" s="27"/>
      <c r="Q72" s="27"/>
      <c r="R72" s="27"/>
      <c r="S72" s="27"/>
      <c r="T72" s="27"/>
    </row>
    <row r="73" spans="1:20" x14ac:dyDescent="0.25">
      <c r="A73" s="27"/>
      <c r="B73" s="27"/>
      <c r="C73" s="27"/>
      <c r="D73" s="27"/>
      <c r="E73" s="27"/>
      <c r="F73" s="27"/>
      <c r="G73" s="27"/>
      <c r="H73" s="27"/>
      <c r="I73" s="27"/>
      <c r="J73" s="27"/>
      <c r="K73" s="27"/>
      <c r="L73" s="27"/>
      <c r="M73" s="27"/>
      <c r="N73" s="27"/>
      <c r="O73" s="27"/>
      <c r="P73" s="27"/>
      <c r="Q73" s="27"/>
      <c r="R73" s="27"/>
      <c r="S73" s="27"/>
      <c r="T73" s="27"/>
    </row>
    <row r="74" spans="1:20" x14ac:dyDescent="0.25">
      <c r="A74" s="27"/>
      <c r="B74" s="27"/>
      <c r="C74" s="27"/>
      <c r="D74" s="27"/>
      <c r="E74" s="27"/>
      <c r="F74" s="27"/>
      <c r="G74" s="27"/>
      <c r="H74" s="27"/>
      <c r="I74" s="27"/>
      <c r="J74" s="27"/>
      <c r="K74" s="27"/>
      <c r="L74" s="27"/>
      <c r="M74" s="27"/>
      <c r="N74" s="27"/>
      <c r="O74" s="27"/>
      <c r="P74" s="27"/>
      <c r="Q74" s="27"/>
      <c r="R74" s="27"/>
      <c r="S74" s="27"/>
      <c r="T74" s="27"/>
    </row>
    <row r="75" spans="1:20" x14ac:dyDescent="0.25">
      <c r="A75" s="27"/>
      <c r="B75" s="27"/>
      <c r="C75" s="27"/>
      <c r="D75" s="27"/>
      <c r="E75" s="27"/>
      <c r="F75" s="27"/>
      <c r="G75" s="27"/>
      <c r="H75" s="27"/>
      <c r="I75" s="27"/>
      <c r="J75" s="27"/>
      <c r="K75" s="27"/>
      <c r="L75" s="27"/>
      <c r="M75" s="27"/>
      <c r="N75" s="27"/>
      <c r="O75" s="27"/>
      <c r="P75" s="27"/>
      <c r="Q75" s="27"/>
      <c r="R75" s="27"/>
      <c r="S75" s="27"/>
      <c r="T75" s="27"/>
    </row>
    <row r="76" spans="1:20" x14ac:dyDescent="0.25">
      <c r="A76" s="27"/>
      <c r="B76" s="27"/>
      <c r="C76" s="27"/>
      <c r="D76" s="27"/>
      <c r="E76" s="27"/>
      <c r="F76" s="27"/>
      <c r="G76" s="27"/>
      <c r="H76" s="27"/>
      <c r="I76" s="27"/>
      <c r="J76" s="27"/>
      <c r="K76" s="27"/>
      <c r="L76" s="27"/>
      <c r="M76" s="27"/>
      <c r="N76" s="27"/>
      <c r="O76" s="27"/>
      <c r="P76" s="27"/>
      <c r="Q76" s="27"/>
      <c r="R76" s="27"/>
      <c r="S76" s="27"/>
      <c r="T76" s="27"/>
    </row>
    <row r="77" spans="1:20" x14ac:dyDescent="0.25">
      <c r="A77" s="27"/>
      <c r="B77" s="27"/>
      <c r="C77" s="27"/>
      <c r="D77" s="27"/>
      <c r="E77" s="27"/>
      <c r="F77" s="27"/>
      <c r="G77" s="27"/>
      <c r="H77" s="27"/>
      <c r="I77" s="27"/>
      <c r="J77" s="27"/>
      <c r="K77" s="27"/>
      <c r="L77" s="27"/>
      <c r="M77" s="27"/>
      <c r="N77" s="27"/>
      <c r="O77" s="27"/>
      <c r="P77" s="27"/>
      <c r="Q77" s="27"/>
      <c r="R77" s="27"/>
      <c r="S77" s="27"/>
      <c r="T77" s="27"/>
    </row>
    <row r="78" spans="1:20" x14ac:dyDescent="0.25">
      <c r="A78" s="27"/>
      <c r="B78" s="27"/>
      <c r="C78" s="27"/>
      <c r="D78" s="27"/>
      <c r="E78" s="27"/>
      <c r="F78" s="27"/>
      <c r="G78" s="27"/>
      <c r="H78" s="27"/>
      <c r="I78" s="27"/>
      <c r="J78" s="27"/>
      <c r="K78" s="27"/>
      <c r="L78" s="27"/>
      <c r="M78" s="27"/>
      <c r="N78" s="27"/>
      <c r="O78" s="27"/>
      <c r="P78" s="27"/>
      <c r="Q78" s="27"/>
      <c r="R78" s="27"/>
      <c r="S78" s="27"/>
      <c r="T78" s="27"/>
    </row>
    <row r="79" spans="1:20" x14ac:dyDescent="0.25">
      <c r="A79" s="27"/>
      <c r="B79" s="27"/>
      <c r="C79" s="27"/>
      <c r="D79" s="27"/>
      <c r="E79" s="27"/>
      <c r="F79" s="27"/>
      <c r="G79" s="27"/>
      <c r="H79" s="27"/>
      <c r="I79" s="27"/>
      <c r="J79" s="27"/>
      <c r="K79" s="27"/>
      <c r="L79" s="27"/>
      <c r="M79" s="27"/>
      <c r="N79" s="27"/>
      <c r="O79" s="27"/>
      <c r="P79" s="27"/>
      <c r="Q79" s="27"/>
      <c r="R79" s="27"/>
      <c r="S79" s="27"/>
      <c r="T79" s="27"/>
    </row>
    <row r="80" spans="1:20" x14ac:dyDescent="0.25">
      <c r="A80" s="27"/>
      <c r="B80" s="27"/>
      <c r="C80" s="27"/>
      <c r="D80" s="27"/>
      <c r="E80" s="27"/>
      <c r="F80" s="27"/>
      <c r="G80" s="27"/>
      <c r="H80" s="27"/>
      <c r="I80" s="27"/>
      <c r="J80" s="27"/>
      <c r="K80" s="27"/>
      <c r="L80" s="27"/>
      <c r="M80" s="27"/>
      <c r="N80" s="27"/>
      <c r="O80" s="27"/>
      <c r="P80" s="27"/>
      <c r="Q80" s="27"/>
      <c r="R80" s="27"/>
      <c r="S80" s="27"/>
      <c r="T80" s="27"/>
    </row>
    <row r="81" spans="1:20" x14ac:dyDescent="0.25">
      <c r="A81" s="27"/>
      <c r="B81" s="27"/>
      <c r="C81" s="27"/>
      <c r="D81" s="27"/>
      <c r="E81" s="27"/>
      <c r="F81" s="27"/>
      <c r="G81" s="27"/>
      <c r="H81" s="27"/>
      <c r="I81" s="27"/>
      <c r="J81" s="27"/>
      <c r="K81" s="27"/>
      <c r="L81" s="27"/>
      <c r="M81" s="27"/>
      <c r="N81" s="27"/>
      <c r="O81" s="27"/>
      <c r="P81" s="27"/>
      <c r="Q81" s="27"/>
      <c r="R81" s="27"/>
      <c r="S81" s="27"/>
      <c r="T81" s="27"/>
    </row>
    <row r="82" spans="1:20" x14ac:dyDescent="0.25">
      <c r="A82" s="27"/>
      <c r="B82" s="27"/>
      <c r="C82" s="27"/>
      <c r="D82" s="27"/>
      <c r="E82" s="27"/>
      <c r="F82" s="27"/>
      <c r="G82" s="27"/>
      <c r="H82" s="27"/>
      <c r="I82" s="27"/>
      <c r="J82" s="27"/>
      <c r="K82" s="27"/>
      <c r="L82" s="27"/>
      <c r="M82" s="27"/>
      <c r="N82" s="27"/>
      <c r="O82" s="27"/>
      <c r="P82" s="27"/>
      <c r="Q82" s="27"/>
      <c r="R82" s="27"/>
      <c r="S82" s="27"/>
      <c r="T82" s="27"/>
    </row>
    <row r="83" spans="1:20" x14ac:dyDescent="0.25">
      <c r="A83" s="27"/>
      <c r="B83" s="27"/>
      <c r="C83" s="27"/>
      <c r="D83" s="27"/>
      <c r="E83" s="27"/>
      <c r="F83" s="27"/>
      <c r="G83" s="27"/>
      <c r="H83" s="27"/>
      <c r="I83" s="27"/>
      <c r="J83" s="27"/>
      <c r="K83" s="27"/>
      <c r="L83" s="27"/>
      <c r="M83" s="27"/>
      <c r="N83" s="27"/>
      <c r="O83" s="27"/>
      <c r="P83" s="27"/>
      <c r="Q83" s="27"/>
      <c r="R83" s="27"/>
      <c r="S83" s="27"/>
      <c r="T83" s="27"/>
    </row>
    <row r="84" spans="1:20" x14ac:dyDescent="0.25">
      <c r="A84" s="27"/>
      <c r="B84" s="27"/>
      <c r="C84" s="27"/>
      <c r="D84" s="27"/>
      <c r="E84" s="27"/>
      <c r="F84" s="27"/>
      <c r="G84" s="27"/>
      <c r="H84" s="27"/>
      <c r="I84" s="27"/>
      <c r="J84" s="27"/>
      <c r="K84" s="27"/>
      <c r="L84" s="27"/>
      <c r="M84" s="27"/>
      <c r="N84" s="27"/>
      <c r="O84" s="27"/>
      <c r="P84" s="27"/>
      <c r="Q84" s="27"/>
      <c r="R84" s="27"/>
      <c r="S84" s="27"/>
      <c r="T84" s="27"/>
    </row>
    <row r="85" spans="1:20" x14ac:dyDescent="0.25">
      <c r="A85" s="27"/>
      <c r="B85" s="27"/>
      <c r="C85" s="27"/>
      <c r="D85" s="27"/>
      <c r="E85" s="27"/>
      <c r="F85" s="27"/>
      <c r="G85" s="27"/>
      <c r="H85" s="27"/>
      <c r="I85" s="27"/>
      <c r="J85" s="27"/>
      <c r="K85" s="27"/>
      <c r="L85" s="27"/>
      <c r="M85" s="27"/>
      <c r="N85" s="27"/>
      <c r="O85" s="27"/>
      <c r="P85" s="27"/>
      <c r="Q85" s="27"/>
      <c r="R85" s="27"/>
      <c r="S85" s="27"/>
      <c r="T85" s="27"/>
    </row>
    <row r="86" spans="1:20" x14ac:dyDescent="0.25">
      <c r="A86" s="27"/>
      <c r="B86" s="27"/>
      <c r="C86" s="27"/>
      <c r="D86" s="27"/>
      <c r="E86" s="27"/>
      <c r="F86" s="27"/>
      <c r="G86" s="27"/>
      <c r="H86" s="27"/>
      <c r="I86" s="27"/>
      <c r="J86" s="27"/>
      <c r="K86" s="27"/>
      <c r="L86" s="27"/>
      <c r="M86" s="27"/>
      <c r="N86" s="27"/>
      <c r="O86" s="27"/>
      <c r="P86" s="27"/>
      <c r="Q86" s="27"/>
      <c r="R86" s="27"/>
      <c r="S86" s="27"/>
      <c r="T86" s="27"/>
    </row>
    <row r="87" spans="1:20" x14ac:dyDescent="0.25">
      <c r="A87" s="27"/>
      <c r="B87" s="27"/>
      <c r="C87" s="27"/>
      <c r="D87" s="27"/>
      <c r="E87" s="27"/>
      <c r="F87" s="27"/>
      <c r="G87" s="27"/>
      <c r="H87" s="27"/>
      <c r="I87" s="27"/>
      <c r="J87" s="27"/>
      <c r="K87" s="27"/>
      <c r="L87" s="27"/>
      <c r="M87" s="27"/>
      <c r="N87" s="27"/>
      <c r="O87" s="27"/>
      <c r="P87" s="27"/>
      <c r="Q87" s="27"/>
      <c r="R87" s="27"/>
      <c r="S87" s="27"/>
      <c r="T87" s="27"/>
    </row>
    <row r="88" spans="1:20" x14ac:dyDescent="0.25">
      <c r="A88" s="27"/>
      <c r="B88" s="27"/>
      <c r="C88" s="27"/>
      <c r="D88" s="27"/>
      <c r="E88" s="27"/>
      <c r="F88" s="27"/>
      <c r="G88" s="27"/>
      <c r="H88" s="27"/>
      <c r="I88" s="27"/>
      <c r="J88" s="27"/>
      <c r="K88" s="27"/>
      <c r="L88" s="27"/>
      <c r="M88" s="27"/>
      <c r="N88" s="27"/>
      <c r="O88" s="27"/>
      <c r="P88" s="27"/>
      <c r="Q88" s="27"/>
      <c r="R88" s="27"/>
      <c r="S88" s="27"/>
      <c r="T88" s="27"/>
    </row>
    <row r="89" spans="1:20" x14ac:dyDescent="0.25">
      <c r="A89" s="27"/>
      <c r="B89" s="27"/>
      <c r="C89" s="27"/>
      <c r="D89" s="27"/>
      <c r="E89" s="27"/>
      <c r="F89" s="27"/>
      <c r="G89" s="27"/>
      <c r="H89" s="27"/>
      <c r="I89" s="27"/>
      <c r="J89" s="27"/>
      <c r="K89" s="27"/>
      <c r="L89" s="27"/>
      <c r="M89" s="27"/>
      <c r="N89" s="27"/>
      <c r="O89" s="27"/>
      <c r="P89" s="27"/>
      <c r="Q89" s="27"/>
      <c r="R89" s="27"/>
      <c r="S89" s="27"/>
      <c r="T89" s="27"/>
    </row>
    <row r="90" spans="1:20" x14ac:dyDescent="0.25">
      <c r="A90" s="27"/>
      <c r="B90" s="27"/>
      <c r="C90" s="27"/>
      <c r="D90" s="27"/>
      <c r="E90" s="27"/>
      <c r="F90" s="27"/>
      <c r="G90" s="27"/>
      <c r="H90" s="27"/>
      <c r="I90" s="27"/>
      <c r="J90" s="27"/>
      <c r="K90" s="27"/>
      <c r="L90" s="27"/>
      <c r="M90" s="27"/>
      <c r="N90" s="27"/>
      <c r="O90" s="27"/>
      <c r="P90" s="27"/>
      <c r="Q90" s="27"/>
      <c r="R90" s="27"/>
      <c r="S90" s="27"/>
      <c r="T90" s="27"/>
    </row>
    <row r="91" spans="1:20" x14ac:dyDescent="0.25">
      <c r="A91" s="27"/>
      <c r="B91" s="27"/>
      <c r="C91" s="27"/>
      <c r="D91" s="27"/>
      <c r="E91" s="27"/>
      <c r="F91" s="27"/>
      <c r="G91" s="27"/>
      <c r="H91" s="27"/>
      <c r="I91" s="27"/>
      <c r="J91" s="27"/>
      <c r="K91" s="27"/>
      <c r="L91" s="27"/>
      <c r="M91" s="27"/>
      <c r="N91" s="27"/>
      <c r="O91" s="27"/>
      <c r="P91" s="27"/>
      <c r="Q91" s="27"/>
      <c r="R91" s="27"/>
      <c r="S91" s="27"/>
      <c r="T91" s="27"/>
    </row>
    <row r="92" spans="1:20" x14ac:dyDescent="0.25">
      <c r="A92" s="27"/>
      <c r="B92" s="27"/>
      <c r="C92" s="27"/>
      <c r="D92" s="27"/>
      <c r="E92" s="27"/>
      <c r="F92" s="27"/>
      <c r="G92" s="27"/>
      <c r="H92" s="27"/>
      <c r="I92" s="27"/>
      <c r="J92" s="27"/>
      <c r="K92" s="27"/>
      <c r="L92" s="27"/>
      <c r="M92" s="27"/>
      <c r="N92" s="27"/>
      <c r="O92" s="27"/>
      <c r="P92" s="27"/>
      <c r="Q92" s="27"/>
      <c r="R92" s="27"/>
      <c r="S92" s="27"/>
      <c r="T92" s="27"/>
    </row>
    <row r="93" spans="1:20" x14ac:dyDescent="0.25">
      <c r="A93" s="27"/>
      <c r="B93" s="27"/>
      <c r="C93" s="27"/>
      <c r="D93" s="27"/>
      <c r="E93" s="27"/>
      <c r="F93" s="27"/>
      <c r="G93" s="27"/>
      <c r="H93" s="27"/>
      <c r="I93" s="27"/>
      <c r="J93" s="27"/>
      <c r="K93" s="27"/>
      <c r="L93" s="27"/>
      <c r="M93" s="27"/>
      <c r="N93" s="27"/>
      <c r="O93" s="27"/>
      <c r="P93" s="27"/>
      <c r="Q93" s="27"/>
      <c r="R93" s="27"/>
      <c r="S93" s="27"/>
      <c r="T93" s="27"/>
    </row>
    <row r="94" spans="1:20" x14ac:dyDescent="0.25">
      <c r="A94" s="27"/>
      <c r="B94" s="27"/>
      <c r="C94" s="27"/>
      <c r="D94" s="27"/>
      <c r="E94" s="27"/>
      <c r="F94" s="27"/>
      <c r="G94" s="27"/>
      <c r="H94" s="27"/>
      <c r="I94" s="27"/>
      <c r="J94" s="27"/>
      <c r="K94" s="27"/>
      <c r="L94" s="27"/>
      <c r="M94" s="27"/>
      <c r="N94" s="27"/>
      <c r="O94" s="27"/>
      <c r="P94" s="27"/>
      <c r="Q94" s="27"/>
      <c r="R94" s="27"/>
      <c r="S94" s="27"/>
      <c r="T94" s="27"/>
    </row>
    <row r="95" spans="1:20" x14ac:dyDescent="0.25">
      <c r="A95" s="27"/>
      <c r="B95" s="27"/>
      <c r="C95" s="27"/>
      <c r="D95" s="27"/>
      <c r="E95" s="27"/>
      <c r="F95" s="27"/>
      <c r="G95" s="27"/>
      <c r="H95" s="27"/>
      <c r="I95" s="27"/>
      <c r="J95" s="27"/>
      <c r="K95" s="27"/>
      <c r="L95" s="27"/>
      <c r="M95" s="27"/>
      <c r="N95" s="27"/>
      <c r="O95" s="27"/>
      <c r="P95" s="27"/>
      <c r="Q95" s="27"/>
      <c r="R95" s="27"/>
      <c r="S95" s="27"/>
      <c r="T95" s="27"/>
    </row>
    <row r="96" spans="1:20" x14ac:dyDescent="0.25">
      <c r="A96" s="27"/>
      <c r="B96" s="27"/>
      <c r="C96" s="27"/>
      <c r="D96" s="27"/>
      <c r="E96" s="27"/>
      <c r="F96" s="27"/>
      <c r="G96" s="27"/>
      <c r="H96" s="27"/>
      <c r="I96" s="27"/>
      <c r="J96" s="27"/>
      <c r="K96" s="27"/>
      <c r="L96" s="27"/>
      <c r="M96" s="27"/>
      <c r="N96" s="27"/>
      <c r="O96" s="27"/>
      <c r="P96" s="27"/>
      <c r="Q96" s="27"/>
      <c r="R96" s="27"/>
      <c r="S96" s="27"/>
      <c r="T96" s="27"/>
    </row>
    <row r="97" spans="1:20" x14ac:dyDescent="0.25">
      <c r="A97" s="27"/>
      <c r="B97" s="27"/>
      <c r="C97" s="27"/>
      <c r="D97" s="27"/>
      <c r="E97" s="27"/>
      <c r="F97" s="27"/>
      <c r="G97" s="27"/>
      <c r="H97" s="27"/>
      <c r="I97" s="27"/>
      <c r="J97" s="27"/>
      <c r="K97" s="27"/>
      <c r="L97" s="27"/>
      <c r="M97" s="27"/>
      <c r="N97" s="27"/>
      <c r="O97" s="27"/>
      <c r="P97" s="27"/>
      <c r="Q97" s="27"/>
      <c r="R97" s="27"/>
      <c r="S97" s="27"/>
      <c r="T97" s="27"/>
    </row>
    <row r="98" spans="1:20" x14ac:dyDescent="0.25">
      <c r="A98" s="27"/>
      <c r="B98" s="27"/>
      <c r="C98" s="27"/>
      <c r="D98" s="27"/>
      <c r="E98" s="27"/>
      <c r="F98" s="27"/>
      <c r="G98" s="27"/>
      <c r="H98" s="27"/>
      <c r="I98" s="27"/>
      <c r="J98" s="27"/>
      <c r="K98" s="27"/>
      <c r="L98" s="27"/>
      <c r="M98" s="27"/>
      <c r="N98" s="27"/>
      <c r="O98" s="27"/>
      <c r="P98" s="27"/>
      <c r="Q98" s="27"/>
      <c r="R98" s="27"/>
      <c r="S98" s="27"/>
      <c r="T98" s="27"/>
    </row>
    <row r="99" spans="1:20" x14ac:dyDescent="0.25">
      <c r="A99" s="27"/>
      <c r="B99" s="27"/>
      <c r="C99" s="27"/>
      <c r="D99" s="27"/>
      <c r="E99" s="27"/>
      <c r="F99" s="27"/>
      <c r="G99" s="27"/>
      <c r="H99" s="27"/>
      <c r="I99" s="27"/>
      <c r="J99" s="27"/>
      <c r="K99" s="27"/>
      <c r="L99" s="27"/>
      <c r="M99" s="27"/>
      <c r="N99" s="27"/>
      <c r="O99" s="27"/>
      <c r="P99" s="27"/>
      <c r="Q99" s="27"/>
      <c r="R99" s="27"/>
      <c r="S99" s="27"/>
      <c r="T99" s="27"/>
    </row>
    <row r="100" spans="1:20" x14ac:dyDescent="0.25">
      <c r="A100" s="27"/>
      <c r="B100" s="27"/>
      <c r="C100" s="27"/>
      <c r="D100" s="27"/>
      <c r="E100" s="27"/>
      <c r="F100" s="27"/>
      <c r="G100" s="27"/>
      <c r="H100" s="27"/>
      <c r="I100" s="27"/>
      <c r="J100" s="27"/>
      <c r="K100" s="27"/>
      <c r="L100" s="27"/>
      <c r="M100" s="27"/>
      <c r="N100" s="27"/>
      <c r="O100" s="27"/>
      <c r="P100" s="27"/>
      <c r="Q100" s="27"/>
      <c r="R100" s="27"/>
      <c r="S100" s="27"/>
      <c r="T100" s="27"/>
    </row>
    <row r="101" spans="1:20" x14ac:dyDescent="0.25">
      <c r="A101" s="27"/>
      <c r="B101" s="27"/>
      <c r="C101" s="27"/>
      <c r="D101" s="27"/>
      <c r="E101" s="27"/>
      <c r="F101" s="27"/>
      <c r="G101" s="27"/>
      <c r="H101" s="27"/>
      <c r="I101" s="27"/>
      <c r="J101" s="27"/>
      <c r="K101" s="27"/>
      <c r="L101" s="27"/>
      <c r="M101" s="27"/>
      <c r="N101" s="27"/>
      <c r="O101" s="27"/>
      <c r="P101" s="27"/>
      <c r="Q101" s="27"/>
      <c r="R101" s="27"/>
      <c r="S101" s="27"/>
      <c r="T101" s="27"/>
    </row>
    <row r="102" spans="1:20" x14ac:dyDescent="0.25">
      <c r="A102" s="27"/>
      <c r="B102" s="27"/>
      <c r="C102" s="27"/>
      <c r="D102" s="27"/>
      <c r="E102" s="27"/>
      <c r="F102" s="27"/>
      <c r="G102" s="27"/>
      <c r="H102" s="27"/>
      <c r="I102" s="27"/>
      <c r="J102" s="27"/>
      <c r="K102" s="27"/>
      <c r="L102" s="27"/>
      <c r="M102" s="27"/>
      <c r="N102" s="27"/>
      <c r="O102" s="27"/>
      <c r="P102" s="27"/>
      <c r="Q102" s="27"/>
      <c r="R102" s="27"/>
      <c r="S102" s="27"/>
      <c r="T102" s="27"/>
    </row>
    <row r="103" spans="1:20" x14ac:dyDescent="0.25">
      <c r="A103" s="27"/>
      <c r="B103" s="27"/>
      <c r="C103" s="27"/>
      <c r="D103" s="27"/>
      <c r="E103" s="27"/>
      <c r="F103" s="27"/>
      <c r="G103" s="27"/>
      <c r="H103" s="27"/>
      <c r="I103" s="27"/>
      <c r="J103" s="27"/>
      <c r="K103" s="27"/>
      <c r="L103" s="27"/>
      <c r="M103" s="27"/>
      <c r="N103" s="27"/>
      <c r="O103" s="27"/>
      <c r="P103" s="27"/>
      <c r="Q103" s="27"/>
      <c r="R103" s="27"/>
      <c r="S103" s="27"/>
      <c r="T103" s="27"/>
    </row>
    <row r="104" spans="1:20" x14ac:dyDescent="0.25">
      <c r="A104" s="27"/>
      <c r="B104" s="27"/>
      <c r="C104" s="27"/>
      <c r="D104" s="27"/>
      <c r="E104" s="27"/>
      <c r="F104" s="27"/>
      <c r="G104" s="27"/>
      <c r="H104" s="27"/>
      <c r="I104" s="27"/>
      <c r="J104" s="27"/>
      <c r="K104" s="27"/>
      <c r="L104" s="27"/>
      <c r="M104" s="27"/>
      <c r="N104" s="27"/>
      <c r="O104" s="27"/>
      <c r="P104" s="27"/>
      <c r="Q104" s="27"/>
      <c r="R104" s="27"/>
      <c r="S104" s="27"/>
      <c r="T104" s="27"/>
    </row>
    <row r="105" spans="1:20" x14ac:dyDescent="0.25">
      <c r="A105" s="27"/>
      <c r="B105" s="27"/>
      <c r="C105" s="27"/>
      <c r="D105" s="27"/>
      <c r="E105" s="27"/>
      <c r="F105" s="27"/>
      <c r="G105" s="27"/>
      <c r="H105" s="27"/>
      <c r="I105" s="27"/>
      <c r="J105" s="27"/>
      <c r="K105" s="27"/>
      <c r="L105" s="27"/>
      <c r="M105" s="27"/>
      <c r="N105" s="27"/>
      <c r="O105" s="27"/>
      <c r="P105" s="27"/>
      <c r="Q105" s="27"/>
      <c r="R105" s="27"/>
      <c r="S105" s="27"/>
      <c r="T105" s="27"/>
    </row>
    <row r="106" spans="1:20" x14ac:dyDescent="0.25">
      <c r="A106" s="27"/>
      <c r="B106" s="27"/>
      <c r="C106" s="27"/>
      <c r="D106" s="27"/>
      <c r="E106" s="27"/>
      <c r="F106" s="27"/>
      <c r="G106" s="27"/>
      <c r="H106" s="27"/>
      <c r="I106" s="27"/>
      <c r="J106" s="27"/>
      <c r="K106" s="27"/>
      <c r="L106" s="27"/>
      <c r="M106" s="27"/>
      <c r="N106" s="27"/>
      <c r="O106" s="27"/>
      <c r="P106" s="27"/>
      <c r="Q106" s="27"/>
      <c r="R106" s="27"/>
      <c r="S106" s="27"/>
      <c r="T106" s="27"/>
    </row>
    <row r="107" spans="1:20" x14ac:dyDescent="0.25">
      <c r="A107" s="27"/>
      <c r="B107" s="27"/>
      <c r="C107" s="27"/>
      <c r="D107" s="27"/>
      <c r="E107" s="27"/>
      <c r="F107" s="27"/>
      <c r="G107" s="27"/>
      <c r="H107" s="27"/>
      <c r="I107" s="27"/>
      <c r="J107" s="27"/>
      <c r="K107" s="27"/>
      <c r="L107" s="27"/>
      <c r="M107" s="27"/>
      <c r="N107" s="27"/>
      <c r="O107" s="27"/>
      <c r="P107" s="27"/>
      <c r="Q107" s="27"/>
      <c r="R107" s="27"/>
      <c r="S107" s="27"/>
      <c r="T107" s="27"/>
    </row>
    <row r="108" spans="1:20" x14ac:dyDescent="0.25">
      <c r="A108" s="27"/>
      <c r="B108" s="27"/>
      <c r="C108" s="27"/>
      <c r="D108" s="27"/>
      <c r="E108" s="27"/>
      <c r="F108" s="27"/>
      <c r="G108" s="27"/>
      <c r="H108" s="27"/>
      <c r="I108" s="27"/>
      <c r="J108" s="27"/>
      <c r="K108" s="27"/>
      <c r="L108" s="27"/>
      <c r="M108" s="27"/>
      <c r="N108" s="27"/>
      <c r="O108" s="27"/>
      <c r="P108" s="27"/>
      <c r="Q108" s="27"/>
      <c r="R108" s="27"/>
      <c r="S108" s="27"/>
      <c r="T108" s="27"/>
    </row>
    <row r="109" spans="1:20" x14ac:dyDescent="0.25">
      <c r="A109" s="27"/>
      <c r="B109" s="27"/>
      <c r="C109" s="27"/>
      <c r="D109" s="27"/>
      <c r="E109" s="27"/>
      <c r="F109" s="27"/>
      <c r="G109" s="27"/>
      <c r="H109" s="27"/>
      <c r="I109" s="27"/>
      <c r="J109" s="27"/>
      <c r="K109" s="27"/>
      <c r="L109" s="27"/>
      <c r="M109" s="27"/>
      <c r="N109" s="27"/>
      <c r="O109" s="27"/>
      <c r="P109" s="27"/>
      <c r="Q109" s="27"/>
      <c r="R109" s="27"/>
      <c r="S109" s="27"/>
      <c r="T109" s="27"/>
    </row>
    <row r="110" spans="1:20" x14ac:dyDescent="0.25">
      <c r="A110" s="27"/>
      <c r="B110" s="27"/>
      <c r="C110" s="27"/>
      <c r="D110" s="27"/>
      <c r="E110" s="27"/>
      <c r="F110" s="27"/>
      <c r="G110" s="27"/>
      <c r="H110" s="27"/>
      <c r="I110" s="27"/>
      <c r="J110" s="27"/>
      <c r="K110" s="27"/>
      <c r="L110" s="27"/>
      <c r="M110" s="27"/>
      <c r="N110" s="27"/>
      <c r="O110" s="27"/>
      <c r="P110" s="27"/>
      <c r="Q110" s="27"/>
      <c r="R110" s="27"/>
      <c r="S110" s="27"/>
      <c r="T110" s="27"/>
    </row>
    <row r="111" spans="1:20" x14ac:dyDescent="0.25">
      <c r="A111" s="27"/>
      <c r="B111" s="27"/>
      <c r="C111" s="27"/>
      <c r="D111" s="27"/>
      <c r="E111" s="27"/>
      <c r="F111" s="27"/>
      <c r="G111" s="27"/>
      <c r="H111" s="27"/>
      <c r="I111" s="27"/>
      <c r="J111" s="27"/>
      <c r="K111" s="27"/>
      <c r="L111" s="27"/>
      <c r="M111" s="27"/>
      <c r="N111" s="27"/>
      <c r="O111" s="27"/>
      <c r="P111" s="27"/>
      <c r="Q111" s="27"/>
      <c r="R111" s="27"/>
      <c r="S111" s="27"/>
      <c r="T111" s="27"/>
    </row>
    <row r="112" spans="1:20" x14ac:dyDescent="0.25">
      <c r="A112" s="27"/>
      <c r="B112" s="27"/>
      <c r="C112" s="27"/>
      <c r="D112" s="27"/>
      <c r="E112" s="27"/>
      <c r="F112" s="27"/>
      <c r="G112" s="27"/>
      <c r="H112" s="27"/>
      <c r="I112" s="27"/>
      <c r="J112" s="27"/>
      <c r="K112" s="27"/>
      <c r="L112" s="27"/>
      <c r="M112" s="27"/>
      <c r="N112" s="27"/>
      <c r="O112" s="27"/>
      <c r="P112" s="27"/>
      <c r="Q112" s="27"/>
      <c r="R112" s="27"/>
      <c r="S112" s="27"/>
      <c r="T112" s="27"/>
    </row>
    <row r="113" spans="1:20" x14ac:dyDescent="0.25">
      <c r="A113" s="27"/>
      <c r="B113" s="27"/>
      <c r="C113" s="27"/>
      <c r="D113" s="27"/>
      <c r="E113" s="27"/>
      <c r="F113" s="27"/>
      <c r="G113" s="27"/>
      <c r="H113" s="27"/>
      <c r="I113" s="27"/>
      <c r="J113" s="27"/>
      <c r="K113" s="27"/>
      <c r="L113" s="27"/>
      <c r="M113" s="27"/>
      <c r="N113" s="27"/>
      <c r="O113" s="27"/>
      <c r="P113" s="27"/>
      <c r="Q113" s="27"/>
      <c r="R113" s="27"/>
      <c r="S113" s="27"/>
      <c r="T113" s="27"/>
    </row>
    <row r="114" spans="1:20" x14ac:dyDescent="0.25">
      <c r="A114" s="27"/>
      <c r="B114" s="27"/>
      <c r="C114" s="27"/>
      <c r="D114" s="27"/>
      <c r="E114" s="27"/>
      <c r="F114" s="27"/>
      <c r="G114" s="27"/>
      <c r="H114" s="27"/>
      <c r="I114" s="27"/>
      <c r="J114" s="27"/>
      <c r="K114" s="27"/>
      <c r="L114" s="27"/>
      <c r="M114" s="27"/>
      <c r="N114" s="27"/>
      <c r="O114" s="27"/>
      <c r="P114" s="27"/>
      <c r="Q114" s="27"/>
      <c r="R114" s="27"/>
      <c r="S114" s="27"/>
      <c r="T114" s="27"/>
    </row>
    <row r="115" spans="1:20" x14ac:dyDescent="0.25">
      <c r="A115" s="27"/>
      <c r="B115" s="27"/>
      <c r="C115" s="27"/>
      <c r="D115" s="27"/>
      <c r="E115" s="27"/>
      <c r="F115" s="27"/>
      <c r="G115" s="27"/>
      <c r="H115" s="27"/>
      <c r="I115" s="27"/>
      <c r="J115" s="27"/>
      <c r="K115" s="27"/>
      <c r="L115" s="27"/>
      <c r="M115" s="27"/>
      <c r="N115" s="27"/>
      <c r="O115" s="27"/>
      <c r="P115" s="27"/>
      <c r="Q115" s="27"/>
      <c r="R115" s="27"/>
      <c r="S115" s="27"/>
      <c r="T115" s="27"/>
    </row>
    <row r="116" spans="1:20" x14ac:dyDescent="0.25">
      <c r="A116" s="27"/>
      <c r="B116" s="27"/>
      <c r="C116" s="27"/>
      <c r="D116" s="27"/>
      <c r="E116" s="27"/>
      <c r="F116" s="27"/>
      <c r="G116" s="27"/>
      <c r="H116" s="27"/>
      <c r="I116" s="27"/>
      <c r="J116" s="27"/>
      <c r="K116" s="27"/>
      <c r="L116" s="27"/>
      <c r="M116" s="27"/>
      <c r="N116" s="27"/>
      <c r="O116" s="27"/>
      <c r="P116" s="27"/>
      <c r="Q116" s="27"/>
      <c r="R116" s="27"/>
      <c r="S116" s="27"/>
      <c r="T116" s="27"/>
    </row>
    <row r="117" spans="1:20" x14ac:dyDescent="0.25">
      <c r="A117" s="27"/>
      <c r="B117" s="27"/>
      <c r="C117" s="27"/>
      <c r="D117" s="27"/>
      <c r="E117" s="27"/>
      <c r="F117" s="27"/>
      <c r="G117" s="27"/>
      <c r="H117" s="27"/>
      <c r="I117" s="27"/>
      <c r="J117" s="27"/>
      <c r="K117" s="27"/>
      <c r="L117" s="27"/>
      <c r="M117" s="27"/>
      <c r="N117" s="27"/>
      <c r="O117" s="27"/>
      <c r="P117" s="27"/>
      <c r="Q117" s="27"/>
      <c r="R117" s="27"/>
      <c r="S117" s="27"/>
      <c r="T117" s="27"/>
    </row>
    <row r="118" spans="1:20" x14ac:dyDescent="0.25">
      <c r="A118" s="27"/>
      <c r="B118" s="27"/>
      <c r="C118" s="27"/>
      <c r="D118" s="27"/>
      <c r="E118" s="27"/>
      <c r="F118" s="27"/>
      <c r="G118" s="27"/>
      <c r="H118" s="27"/>
      <c r="I118" s="27"/>
      <c r="J118" s="27"/>
      <c r="K118" s="27"/>
      <c r="L118" s="27"/>
      <c r="M118" s="27"/>
      <c r="N118" s="27"/>
      <c r="O118" s="27"/>
      <c r="P118" s="27"/>
      <c r="Q118" s="27"/>
      <c r="R118" s="27"/>
      <c r="S118" s="27"/>
      <c r="T118" s="27"/>
    </row>
    <row r="119" spans="1:20" x14ac:dyDescent="0.25">
      <c r="A119" s="27"/>
      <c r="B119" s="27"/>
      <c r="C119" s="27"/>
      <c r="D119" s="27"/>
      <c r="E119" s="27"/>
      <c r="F119" s="27"/>
      <c r="G119" s="27"/>
      <c r="H119" s="27"/>
      <c r="I119" s="27"/>
      <c r="J119" s="27"/>
      <c r="K119" s="27"/>
      <c r="L119" s="27"/>
      <c r="M119" s="27"/>
      <c r="N119" s="27"/>
      <c r="O119" s="27"/>
      <c r="P119" s="27"/>
      <c r="Q119" s="27"/>
      <c r="R119" s="27"/>
      <c r="S119" s="27"/>
      <c r="T119" s="27"/>
    </row>
    <row r="120" spans="1:20" x14ac:dyDescent="0.25">
      <c r="A120" s="27"/>
      <c r="B120" s="27"/>
      <c r="C120" s="27"/>
      <c r="D120" s="27"/>
      <c r="E120" s="27"/>
      <c r="F120" s="27"/>
      <c r="G120" s="27"/>
      <c r="H120" s="27"/>
      <c r="I120" s="27"/>
      <c r="J120" s="27"/>
      <c r="K120" s="27"/>
      <c r="L120" s="27"/>
      <c r="M120" s="27"/>
      <c r="N120" s="27"/>
      <c r="O120" s="27"/>
      <c r="P120" s="27"/>
      <c r="Q120" s="27"/>
      <c r="R120" s="27"/>
      <c r="S120" s="27"/>
      <c r="T120" s="27"/>
    </row>
    <row r="121" spans="1:20" x14ac:dyDescent="0.25">
      <c r="A121" s="27"/>
      <c r="B121" s="27"/>
      <c r="C121" s="27"/>
      <c r="D121" s="27"/>
      <c r="E121" s="27"/>
      <c r="F121" s="27"/>
      <c r="G121" s="27"/>
      <c r="H121" s="27"/>
      <c r="I121" s="27"/>
      <c r="J121" s="27"/>
      <c r="K121" s="27"/>
      <c r="L121" s="27"/>
      <c r="M121" s="27"/>
      <c r="N121" s="27"/>
      <c r="O121" s="27"/>
      <c r="P121" s="27"/>
      <c r="Q121" s="27"/>
      <c r="R121" s="27"/>
      <c r="S121" s="27"/>
      <c r="T121" s="27"/>
    </row>
    <row r="122" spans="1:20" x14ac:dyDescent="0.25">
      <c r="A122" s="27"/>
      <c r="B122" s="27"/>
      <c r="C122" s="27"/>
      <c r="D122" s="27"/>
      <c r="E122" s="27"/>
      <c r="F122" s="27"/>
      <c r="G122" s="27"/>
      <c r="H122" s="27"/>
      <c r="I122" s="27"/>
      <c r="J122" s="27"/>
      <c r="K122" s="27"/>
      <c r="L122" s="27"/>
      <c r="M122" s="27"/>
      <c r="N122" s="27"/>
      <c r="O122" s="27"/>
      <c r="P122" s="27"/>
      <c r="Q122" s="27"/>
      <c r="R122" s="27"/>
      <c r="S122" s="27"/>
      <c r="T122" s="27"/>
    </row>
    <row r="123" spans="1:20" x14ac:dyDescent="0.25">
      <c r="A123" s="27"/>
      <c r="B123" s="27"/>
      <c r="C123" s="27"/>
      <c r="D123" s="27"/>
      <c r="E123" s="27"/>
      <c r="F123" s="27"/>
      <c r="G123" s="27"/>
      <c r="H123" s="27"/>
      <c r="I123" s="27"/>
      <c r="J123" s="27"/>
      <c r="K123" s="27"/>
      <c r="L123" s="27"/>
      <c r="M123" s="27"/>
      <c r="N123" s="27"/>
      <c r="O123" s="27"/>
      <c r="P123" s="27"/>
      <c r="Q123" s="27"/>
      <c r="R123" s="27"/>
      <c r="S123" s="27"/>
      <c r="T123" s="27"/>
    </row>
    <row r="124" spans="1:20" x14ac:dyDescent="0.25">
      <c r="A124" s="27"/>
      <c r="B124" s="27"/>
      <c r="C124" s="27"/>
      <c r="D124" s="27"/>
      <c r="E124" s="27"/>
      <c r="F124" s="27"/>
      <c r="G124" s="27"/>
      <c r="H124" s="27"/>
      <c r="I124" s="27"/>
      <c r="J124" s="27"/>
      <c r="K124" s="27"/>
      <c r="L124" s="27"/>
      <c r="M124" s="27"/>
      <c r="N124" s="27"/>
      <c r="O124" s="27"/>
      <c r="P124" s="27"/>
      <c r="Q124" s="27"/>
      <c r="R124" s="27"/>
      <c r="S124" s="27"/>
      <c r="T124" s="27"/>
    </row>
    <row r="125" spans="1:20" x14ac:dyDescent="0.25">
      <c r="A125" s="27"/>
      <c r="B125" s="27"/>
      <c r="C125" s="27"/>
      <c r="D125" s="27"/>
      <c r="E125" s="27"/>
      <c r="F125" s="27"/>
      <c r="G125" s="27"/>
      <c r="H125" s="27"/>
      <c r="I125" s="27"/>
      <c r="J125" s="27"/>
      <c r="K125" s="27"/>
      <c r="L125" s="27"/>
      <c r="M125" s="27"/>
      <c r="N125" s="27"/>
      <c r="O125" s="27"/>
      <c r="P125" s="27"/>
      <c r="Q125" s="27"/>
      <c r="R125" s="27"/>
      <c r="S125" s="27"/>
      <c r="T125" s="27"/>
    </row>
    <row r="126" spans="1:20" x14ac:dyDescent="0.25">
      <c r="A126" s="27"/>
      <c r="B126" s="27"/>
      <c r="C126" s="27"/>
      <c r="D126" s="27"/>
      <c r="E126" s="27"/>
      <c r="F126" s="27"/>
      <c r="G126" s="27"/>
      <c r="H126" s="27"/>
      <c r="I126" s="27"/>
      <c r="J126" s="27"/>
      <c r="K126" s="27"/>
      <c r="L126" s="27"/>
      <c r="M126" s="27"/>
      <c r="N126" s="27"/>
      <c r="O126" s="27"/>
      <c r="P126" s="27"/>
      <c r="Q126" s="27"/>
      <c r="R126" s="27"/>
      <c r="S126" s="27"/>
      <c r="T126" s="27"/>
    </row>
    <row r="127" spans="1:20" x14ac:dyDescent="0.25">
      <c r="A127" s="27"/>
      <c r="B127" s="27"/>
      <c r="C127" s="27"/>
      <c r="D127" s="27"/>
      <c r="E127" s="27"/>
      <c r="F127" s="27"/>
      <c r="G127" s="27"/>
      <c r="H127" s="27"/>
      <c r="I127" s="27"/>
      <c r="J127" s="27"/>
      <c r="K127" s="27"/>
      <c r="L127" s="27"/>
      <c r="M127" s="27"/>
      <c r="N127" s="27"/>
      <c r="O127" s="27"/>
      <c r="P127" s="27"/>
      <c r="Q127" s="27"/>
      <c r="R127" s="27"/>
      <c r="S127" s="27"/>
      <c r="T127" s="27"/>
    </row>
    <row r="128" spans="1:20" x14ac:dyDescent="0.25">
      <c r="A128" s="27"/>
      <c r="B128" s="27"/>
      <c r="C128" s="27"/>
      <c r="D128" s="27"/>
      <c r="E128" s="27"/>
      <c r="F128" s="27"/>
      <c r="G128" s="27"/>
      <c r="H128" s="27"/>
      <c r="I128" s="27"/>
      <c r="J128" s="27"/>
      <c r="K128" s="27"/>
      <c r="L128" s="27"/>
      <c r="M128" s="27"/>
      <c r="N128" s="27"/>
      <c r="O128" s="27"/>
      <c r="P128" s="27"/>
      <c r="Q128" s="27"/>
      <c r="R128" s="27"/>
      <c r="S128" s="27"/>
      <c r="T128" s="27"/>
    </row>
    <row r="129" spans="1:20" x14ac:dyDescent="0.25">
      <c r="A129" s="27"/>
      <c r="B129" s="27"/>
      <c r="C129" s="27"/>
      <c r="D129" s="27"/>
      <c r="E129" s="27"/>
      <c r="F129" s="27"/>
      <c r="G129" s="27"/>
      <c r="H129" s="27"/>
      <c r="I129" s="27"/>
      <c r="J129" s="27"/>
      <c r="K129" s="27"/>
      <c r="L129" s="27"/>
      <c r="M129" s="27"/>
      <c r="N129" s="27"/>
      <c r="O129" s="27"/>
      <c r="P129" s="27"/>
      <c r="Q129" s="27"/>
      <c r="R129" s="27"/>
      <c r="S129" s="27"/>
      <c r="T129" s="27"/>
    </row>
    <row r="130" spans="1:20" x14ac:dyDescent="0.25">
      <c r="A130" s="27"/>
      <c r="B130" s="27"/>
      <c r="C130" s="27"/>
      <c r="D130" s="27"/>
      <c r="E130" s="27"/>
      <c r="F130" s="27"/>
      <c r="G130" s="27"/>
      <c r="H130" s="27"/>
      <c r="I130" s="27"/>
      <c r="J130" s="27"/>
      <c r="K130" s="27"/>
      <c r="L130" s="27"/>
      <c r="M130" s="27"/>
      <c r="N130" s="27"/>
      <c r="O130" s="27"/>
      <c r="P130" s="27"/>
      <c r="Q130" s="27"/>
      <c r="R130" s="27"/>
      <c r="S130" s="27"/>
      <c r="T130" s="27"/>
    </row>
    <row r="131" spans="1:20" x14ac:dyDescent="0.25">
      <c r="A131" s="27"/>
      <c r="B131" s="27"/>
      <c r="C131" s="27"/>
      <c r="D131" s="27"/>
      <c r="E131" s="27"/>
      <c r="F131" s="27"/>
      <c r="G131" s="27"/>
      <c r="H131" s="27"/>
      <c r="I131" s="27"/>
      <c r="J131" s="27"/>
      <c r="K131" s="27"/>
      <c r="L131" s="27"/>
      <c r="M131" s="27"/>
      <c r="N131" s="27"/>
      <c r="O131" s="27"/>
      <c r="P131" s="27"/>
      <c r="Q131" s="27"/>
      <c r="R131" s="27"/>
      <c r="S131" s="27"/>
      <c r="T131" s="27"/>
    </row>
    <row r="132" spans="1:20" x14ac:dyDescent="0.25">
      <c r="A132" s="27"/>
      <c r="B132" s="27"/>
      <c r="C132" s="27"/>
      <c r="D132" s="27"/>
      <c r="E132" s="27"/>
      <c r="F132" s="27"/>
      <c r="G132" s="27"/>
      <c r="H132" s="27"/>
      <c r="I132" s="27"/>
      <c r="J132" s="27"/>
      <c r="K132" s="27"/>
      <c r="L132" s="27"/>
      <c r="M132" s="27"/>
      <c r="N132" s="27"/>
      <c r="O132" s="27"/>
      <c r="P132" s="27"/>
      <c r="Q132" s="27"/>
      <c r="R132" s="27"/>
      <c r="S132" s="27"/>
      <c r="T132" s="27"/>
    </row>
    <row r="133" spans="1:20" x14ac:dyDescent="0.25">
      <c r="A133" s="27"/>
      <c r="B133" s="27"/>
      <c r="C133" s="27"/>
      <c r="D133" s="27"/>
      <c r="E133" s="27"/>
      <c r="F133" s="27"/>
      <c r="G133" s="27"/>
      <c r="H133" s="27"/>
      <c r="I133" s="27"/>
      <c r="J133" s="27"/>
      <c r="K133" s="27"/>
      <c r="L133" s="27"/>
      <c r="M133" s="27"/>
      <c r="N133" s="27"/>
      <c r="O133" s="27"/>
      <c r="P133" s="27"/>
      <c r="Q133" s="27"/>
      <c r="R133" s="27"/>
      <c r="S133" s="27"/>
      <c r="T133" s="27"/>
    </row>
    <row r="134" spans="1:20" x14ac:dyDescent="0.25">
      <c r="A134" s="27"/>
      <c r="B134" s="27"/>
      <c r="C134" s="27"/>
      <c r="D134" s="27"/>
      <c r="E134" s="27"/>
      <c r="F134" s="27"/>
      <c r="G134" s="27"/>
      <c r="H134" s="27"/>
      <c r="I134" s="27"/>
      <c r="J134" s="27"/>
      <c r="K134" s="27"/>
      <c r="L134" s="27"/>
      <c r="M134" s="27"/>
      <c r="N134" s="27"/>
      <c r="O134" s="27"/>
      <c r="P134" s="27"/>
      <c r="Q134" s="27"/>
      <c r="R134" s="27"/>
      <c r="S134" s="27"/>
      <c r="T134" s="27"/>
    </row>
    <row r="135" spans="1:20" x14ac:dyDescent="0.25">
      <c r="A135" s="27"/>
      <c r="B135" s="27"/>
      <c r="C135" s="27"/>
      <c r="D135" s="27"/>
      <c r="E135" s="27"/>
      <c r="F135" s="27"/>
      <c r="G135" s="27"/>
      <c r="H135" s="27"/>
      <c r="I135" s="27"/>
      <c r="J135" s="27"/>
      <c r="K135" s="27"/>
      <c r="L135" s="27"/>
      <c r="M135" s="27"/>
      <c r="N135" s="27"/>
      <c r="O135" s="27"/>
      <c r="P135" s="27"/>
      <c r="Q135" s="27"/>
      <c r="R135" s="27"/>
      <c r="S135" s="27"/>
      <c r="T135" s="27"/>
    </row>
    <row r="136" spans="1:20" x14ac:dyDescent="0.25">
      <c r="A136" s="27"/>
      <c r="B136" s="27"/>
      <c r="C136" s="27"/>
      <c r="D136" s="27"/>
      <c r="E136" s="27"/>
      <c r="F136" s="27"/>
      <c r="G136" s="27"/>
      <c r="H136" s="27"/>
      <c r="I136" s="27"/>
      <c r="J136" s="27"/>
      <c r="K136" s="27"/>
      <c r="L136" s="27"/>
      <c r="M136" s="27"/>
      <c r="N136" s="27"/>
      <c r="O136" s="27"/>
      <c r="P136" s="27"/>
      <c r="Q136" s="27"/>
      <c r="R136" s="27"/>
      <c r="S136" s="27"/>
      <c r="T136" s="27"/>
    </row>
    <row r="137" spans="1:20" x14ac:dyDescent="0.25">
      <c r="A137" s="27"/>
      <c r="B137" s="27"/>
      <c r="C137" s="27"/>
      <c r="D137" s="27"/>
      <c r="E137" s="27"/>
      <c r="F137" s="27"/>
      <c r="G137" s="27"/>
      <c r="H137" s="27"/>
      <c r="I137" s="27"/>
      <c r="J137" s="27"/>
      <c r="K137" s="27"/>
      <c r="L137" s="27"/>
      <c r="M137" s="27"/>
      <c r="N137" s="27"/>
      <c r="O137" s="27"/>
      <c r="P137" s="27"/>
      <c r="Q137" s="27"/>
      <c r="R137" s="27"/>
      <c r="S137" s="27"/>
      <c r="T137" s="27"/>
    </row>
    <row r="138" spans="1:20" x14ac:dyDescent="0.25">
      <c r="A138" s="27"/>
      <c r="B138" s="27"/>
      <c r="C138" s="27"/>
      <c r="D138" s="27"/>
      <c r="E138" s="27"/>
      <c r="F138" s="27"/>
      <c r="G138" s="27"/>
      <c r="H138" s="27"/>
      <c r="I138" s="27"/>
      <c r="J138" s="27"/>
      <c r="K138" s="27"/>
      <c r="L138" s="27"/>
      <c r="M138" s="27"/>
      <c r="N138" s="27"/>
      <c r="O138" s="27"/>
      <c r="P138" s="27"/>
      <c r="Q138" s="27"/>
      <c r="R138" s="27"/>
      <c r="S138" s="27"/>
      <c r="T138" s="27"/>
    </row>
    <row r="139" spans="1:20" x14ac:dyDescent="0.25">
      <c r="A139" s="27"/>
      <c r="B139" s="27"/>
      <c r="C139" s="27"/>
      <c r="D139" s="27"/>
      <c r="E139" s="27"/>
      <c r="F139" s="27"/>
      <c r="G139" s="27"/>
      <c r="H139" s="27"/>
      <c r="I139" s="27"/>
      <c r="J139" s="27"/>
      <c r="K139" s="27"/>
      <c r="L139" s="27"/>
      <c r="M139" s="27"/>
      <c r="N139" s="27"/>
      <c r="O139" s="27"/>
      <c r="P139" s="27"/>
      <c r="Q139" s="27"/>
      <c r="R139" s="27"/>
      <c r="S139" s="27"/>
      <c r="T139" s="27"/>
    </row>
    <row r="140" spans="1:20" x14ac:dyDescent="0.25">
      <c r="A140" s="27"/>
      <c r="B140" s="27"/>
      <c r="C140" s="27"/>
      <c r="D140" s="27"/>
      <c r="E140" s="27"/>
      <c r="F140" s="27"/>
      <c r="G140" s="27"/>
      <c r="H140" s="27"/>
      <c r="I140" s="27"/>
      <c r="J140" s="27"/>
      <c r="K140" s="27"/>
      <c r="L140" s="27"/>
      <c r="M140" s="27"/>
      <c r="N140" s="27"/>
      <c r="O140" s="27"/>
      <c r="P140" s="27"/>
      <c r="Q140" s="27"/>
      <c r="R140" s="27"/>
      <c r="S140" s="27"/>
      <c r="T140" s="27"/>
    </row>
    <row r="141" spans="1:20" x14ac:dyDescent="0.25">
      <c r="A141" s="27"/>
      <c r="B141" s="27"/>
      <c r="C141" s="27"/>
      <c r="D141" s="27"/>
      <c r="E141" s="27"/>
      <c r="F141" s="27"/>
      <c r="G141" s="27"/>
      <c r="H141" s="27"/>
      <c r="I141" s="27"/>
      <c r="J141" s="27"/>
      <c r="K141" s="27"/>
      <c r="L141" s="27"/>
      <c r="M141" s="27"/>
      <c r="N141" s="27"/>
      <c r="O141" s="27"/>
      <c r="P141" s="27"/>
      <c r="Q141" s="27"/>
      <c r="R141" s="27"/>
      <c r="S141" s="27"/>
      <c r="T141" s="27"/>
    </row>
    <row r="142" spans="1:20" x14ac:dyDescent="0.25">
      <c r="A142" s="27"/>
      <c r="B142" s="27"/>
      <c r="C142" s="27"/>
      <c r="D142" s="27"/>
      <c r="E142" s="27"/>
      <c r="F142" s="27"/>
      <c r="G142" s="27"/>
      <c r="H142" s="27"/>
      <c r="I142" s="27"/>
      <c r="J142" s="27"/>
      <c r="K142" s="27"/>
      <c r="L142" s="27"/>
      <c r="M142" s="27"/>
      <c r="N142" s="27"/>
      <c r="O142" s="27"/>
      <c r="P142" s="27"/>
      <c r="Q142" s="27"/>
      <c r="R142" s="27"/>
      <c r="S142" s="27"/>
      <c r="T142" s="27"/>
    </row>
    <row r="143" spans="1:20" x14ac:dyDescent="0.25">
      <c r="A143" s="27"/>
      <c r="B143" s="27"/>
      <c r="C143" s="27"/>
      <c r="D143" s="27"/>
      <c r="E143" s="27"/>
      <c r="F143" s="27"/>
      <c r="G143" s="27"/>
      <c r="H143" s="27"/>
      <c r="I143" s="27"/>
      <c r="J143" s="27"/>
      <c r="K143" s="27"/>
      <c r="L143" s="27"/>
      <c r="M143" s="27"/>
      <c r="N143" s="27"/>
      <c r="O143" s="27"/>
      <c r="P143" s="27"/>
      <c r="Q143" s="27"/>
      <c r="R143" s="27"/>
      <c r="S143" s="27"/>
      <c r="T143" s="27"/>
    </row>
    <row r="144" spans="1:20" x14ac:dyDescent="0.25">
      <c r="A144" s="27"/>
      <c r="B144" s="27"/>
      <c r="C144" s="27"/>
      <c r="D144" s="27"/>
      <c r="E144" s="27"/>
      <c r="F144" s="27"/>
      <c r="G144" s="27"/>
      <c r="H144" s="27"/>
      <c r="I144" s="27"/>
      <c r="J144" s="27"/>
      <c r="K144" s="27"/>
      <c r="L144" s="27"/>
      <c r="M144" s="27"/>
      <c r="N144" s="27"/>
      <c r="O144" s="27"/>
      <c r="P144" s="27"/>
      <c r="Q144" s="27"/>
      <c r="R144" s="27"/>
      <c r="S144" s="27"/>
      <c r="T144" s="27"/>
    </row>
    <row r="145" spans="1:20" x14ac:dyDescent="0.25">
      <c r="A145" s="27"/>
      <c r="B145" s="27"/>
      <c r="C145" s="27"/>
      <c r="D145" s="27"/>
      <c r="E145" s="27"/>
      <c r="F145" s="27"/>
      <c r="G145" s="27"/>
      <c r="H145" s="27"/>
      <c r="I145" s="27"/>
      <c r="J145" s="27"/>
      <c r="K145" s="27"/>
      <c r="L145" s="27"/>
      <c r="M145" s="27"/>
      <c r="N145" s="27"/>
      <c r="O145" s="27"/>
      <c r="P145" s="27"/>
      <c r="Q145" s="27"/>
      <c r="R145" s="27"/>
      <c r="S145" s="27"/>
      <c r="T145" s="27"/>
    </row>
    <row r="146" spans="1:20" x14ac:dyDescent="0.25">
      <c r="A146" s="27"/>
      <c r="B146" s="27"/>
      <c r="C146" s="27"/>
      <c r="D146" s="27"/>
      <c r="E146" s="27"/>
      <c r="F146" s="27"/>
      <c r="G146" s="27"/>
      <c r="H146" s="27"/>
      <c r="I146" s="27"/>
      <c r="J146" s="27"/>
      <c r="K146" s="27"/>
      <c r="L146" s="27"/>
      <c r="M146" s="27"/>
      <c r="N146" s="27"/>
      <c r="O146" s="27"/>
      <c r="P146" s="27"/>
      <c r="Q146" s="27"/>
      <c r="R146" s="27"/>
      <c r="S146" s="27"/>
      <c r="T146" s="27"/>
    </row>
    <row r="147" spans="1:20" x14ac:dyDescent="0.25">
      <c r="A147" s="27"/>
      <c r="B147" s="27"/>
      <c r="C147" s="27"/>
      <c r="D147" s="27"/>
      <c r="E147" s="27"/>
      <c r="F147" s="27"/>
      <c r="G147" s="27"/>
      <c r="H147" s="27"/>
      <c r="I147" s="27"/>
      <c r="J147" s="27"/>
      <c r="K147" s="27"/>
      <c r="L147" s="27"/>
      <c r="M147" s="27"/>
      <c r="N147" s="27"/>
      <c r="O147" s="27"/>
      <c r="P147" s="27"/>
      <c r="Q147" s="27"/>
      <c r="R147" s="27"/>
      <c r="S147" s="27"/>
      <c r="T147" s="27"/>
    </row>
    <row r="148" spans="1:20" x14ac:dyDescent="0.25">
      <c r="A148" s="27"/>
      <c r="B148" s="27"/>
      <c r="C148" s="27"/>
      <c r="D148" s="27"/>
      <c r="E148" s="27"/>
      <c r="F148" s="27"/>
      <c r="G148" s="27"/>
      <c r="H148" s="27"/>
      <c r="I148" s="27"/>
      <c r="J148" s="27"/>
      <c r="K148" s="27"/>
      <c r="L148" s="27"/>
      <c r="M148" s="27"/>
      <c r="N148" s="27"/>
      <c r="O148" s="27"/>
      <c r="P148" s="27"/>
      <c r="Q148" s="27"/>
      <c r="R148" s="27"/>
      <c r="S148" s="27"/>
      <c r="T148" s="27"/>
    </row>
    <row r="149" spans="1:20" x14ac:dyDescent="0.25">
      <c r="A149" s="27"/>
      <c r="B149" s="27"/>
      <c r="C149" s="27"/>
      <c r="D149" s="27"/>
      <c r="E149" s="27"/>
      <c r="F149" s="27"/>
      <c r="G149" s="27"/>
      <c r="H149" s="27"/>
      <c r="I149" s="27"/>
      <c r="J149" s="27"/>
      <c r="K149" s="27"/>
      <c r="L149" s="27"/>
      <c r="M149" s="27"/>
      <c r="N149" s="27"/>
      <c r="O149" s="27"/>
      <c r="P149" s="27"/>
      <c r="Q149" s="27"/>
      <c r="R149" s="27"/>
      <c r="S149" s="27"/>
      <c r="T149" s="27"/>
    </row>
    <row r="150" spans="1:20" x14ac:dyDescent="0.25">
      <c r="A150" s="27"/>
      <c r="B150" s="27"/>
      <c r="C150" s="27"/>
      <c r="D150" s="27"/>
      <c r="E150" s="27"/>
      <c r="F150" s="27"/>
      <c r="G150" s="27"/>
      <c r="H150" s="27"/>
      <c r="I150" s="27"/>
      <c r="J150" s="27"/>
      <c r="K150" s="27"/>
      <c r="L150" s="27"/>
      <c r="M150" s="27"/>
      <c r="N150" s="27"/>
      <c r="O150" s="27"/>
      <c r="P150" s="27"/>
      <c r="Q150" s="27"/>
      <c r="R150" s="27"/>
      <c r="S150" s="27"/>
      <c r="T150" s="27"/>
    </row>
    <row r="151" spans="1:20" x14ac:dyDescent="0.25">
      <c r="A151" s="27"/>
      <c r="B151" s="27"/>
      <c r="C151" s="27"/>
      <c r="D151" s="27"/>
      <c r="E151" s="27"/>
      <c r="F151" s="27"/>
      <c r="G151" s="27"/>
      <c r="H151" s="27"/>
      <c r="I151" s="27"/>
      <c r="J151" s="27"/>
      <c r="K151" s="27"/>
      <c r="L151" s="27"/>
      <c r="M151" s="27"/>
      <c r="N151" s="27"/>
      <c r="O151" s="27"/>
      <c r="P151" s="27"/>
      <c r="Q151" s="27"/>
      <c r="R151" s="27"/>
      <c r="S151" s="27"/>
      <c r="T151" s="27"/>
    </row>
    <row r="152" spans="1:20" x14ac:dyDescent="0.25">
      <c r="A152" s="27"/>
      <c r="B152" s="27"/>
      <c r="C152" s="27"/>
      <c r="D152" s="27"/>
      <c r="E152" s="27"/>
      <c r="F152" s="27"/>
      <c r="G152" s="27"/>
      <c r="H152" s="27"/>
      <c r="I152" s="27"/>
      <c r="J152" s="27"/>
      <c r="K152" s="27"/>
      <c r="L152" s="27"/>
      <c r="M152" s="27"/>
      <c r="N152" s="27"/>
      <c r="O152" s="27"/>
      <c r="P152" s="27"/>
      <c r="Q152" s="27"/>
      <c r="R152" s="27"/>
      <c r="S152" s="27"/>
      <c r="T152" s="27"/>
    </row>
    <row r="153" spans="1:20" x14ac:dyDescent="0.25">
      <c r="A153" s="27"/>
      <c r="B153" s="27"/>
      <c r="C153" s="27"/>
      <c r="D153" s="27"/>
      <c r="E153" s="27"/>
      <c r="F153" s="27"/>
      <c r="G153" s="27"/>
      <c r="H153" s="27"/>
      <c r="I153" s="27"/>
      <c r="J153" s="27"/>
      <c r="K153" s="27"/>
      <c r="L153" s="27"/>
      <c r="M153" s="27"/>
      <c r="N153" s="27"/>
      <c r="O153" s="27"/>
      <c r="P153" s="27"/>
      <c r="Q153" s="27"/>
      <c r="R153" s="27"/>
      <c r="S153" s="27"/>
      <c r="T153" s="27"/>
    </row>
    <row r="154" spans="1:20" x14ac:dyDescent="0.25">
      <c r="A154" s="27"/>
      <c r="B154" s="27"/>
      <c r="C154" s="27"/>
      <c r="D154" s="27"/>
      <c r="E154" s="27"/>
      <c r="F154" s="27"/>
      <c r="G154" s="27"/>
      <c r="H154" s="27"/>
      <c r="I154" s="27"/>
      <c r="J154" s="27"/>
      <c r="K154" s="27"/>
      <c r="L154" s="27"/>
      <c r="M154" s="27"/>
      <c r="N154" s="27"/>
      <c r="O154" s="27"/>
      <c r="P154" s="27"/>
      <c r="Q154" s="27"/>
      <c r="R154" s="27"/>
      <c r="S154" s="27"/>
      <c r="T154" s="27"/>
    </row>
    <row r="155" spans="1:20" x14ac:dyDescent="0.25">
      <c r="A155" s="27"/>
      <c r="B155" s="27"/>
      <c r="C155" s="27"/>
      <c r="D155" s="27"/>
      <c r="E155" s="27"/>
      <c r="F155" s="27"/>
      <c r="G155" s="27"/>
      <c r="H155" s="27"/>
      <c r="I155" s="27"/>
      <c r="J155" s="27"/>
      <c r="K155" s="27"/>
      <c r="L155" s="27"/>
      <c r="M155" s="27"/>
      <c r="N155" s="27"/>
      <c r="O155" s="27"/>
      <c r="P155" s="27"/>
      <c r="Q155" s="27"/>
      <c r="R155" s="27"/>
      <c r="S155" s="27"/>
      <c r="T155" s="27"/>
    </row>
    <row r="156" spans="1:20" x14ac:dyDescent="0.25">
      <c r="A156" s="27"/>
      <c r="B156" s="27"/>
      <c r="C156" s="27"/>
      <c r="D156" s="27"/>
      <c r="E156" s="27"/>
      <c r="F156" s="27"/>
      <c r="G156" s="27"/>
      <c r="H156" s="27"/>
      <c r="I156" s="27"/>
      <c r="J156" s="27"/>
      <c r="K156" s="27"/>
      <c r="L156" s="27"/>
      <c r="M156" s="27"/>
      <c r="N156" s="27"/>
      <c r="O156" s="27"/>
      <c r="P156" s="27"/>
      <c r="Q156" s="27"/>
      <c r="R156" s="27"/>
      <c r="S156" s="27"/>
      <c r="T156" s="27"/>
    </row>
    <row r="157" spans="1:20" x14ac:dyDescent="0.25">
      <c r="A157" s="27"/>
      <c r="B157" s="27"/>
      <c r="C157" s="27"/>
      <c r="D157" s="27"/>
      <c r="E157" s="27"/>
      <c r="F157" s="27"/>
      <c r="G157" s="27"/>
      <c r="H157" s="27"/>
      <c r="I157" s="27"/>
      <c r="J157" s="27"/>
      <c r="K157" s="27"/>
      <c r="L157" s="27"/>
      <c r="M157" s="27"/>
      <c r="N157" s="27"/>
      <c r="O157" s="27"/>
      <c r="P157" s="27"/>
      <c r="Q157" s="27"/>
      <c r="R157" s="27"/>
      <c r="S157" s="27"/>
      <c r="T157" s="27"/>
    </row>
    <row r="158" spans="1:20" x14ac:dyDescent="0.25">
      <c r="A158" s="27"/>
      <c r="B158" s="27"/>
      <c r="C158" s="27"/>
      <c r="D158" s="27"/>
      <c r="E158" s="27"/>
      <c r="F158" s="27"/>
      <c r="G158" s="27"/>
      <c r="H158" s="27"/>
      <c r="I158" s="27"/>
      <c r="J158" s="27"/>
      <c r="K158" s="27"/>
      <c r="L158" s="27"/>
      <c r="M158" s="27"/>
      <c r="N158" s="27"/>
      <c r="O158" s="27"/>
      <c r="P158" s="27"/>
      <c r="Q158" s="27"/>
      <c r="R158" s="27"/>
      <c r="S158" s="27"/>
      <c r="T158" s="27"/>
    </row>
    <row r="159" spans="1:20" x14ac:dyDescent="0.25">
      <c r="A159" s="27"/>
      <c r="B159" s="27"/>
      <c r="C159" s="27"/>
      <c r="D159" s="27"/>
      <c r="E159" s="27"/>
      <c r="F159" s="27"/>
      <c r="G159" s="27"/>
      <c r="H159" s="27"/>
      <c r="I159" s="27"/>
      <c r="J159" s="27"/>
      <c r="K159" s="27"/>
      <c r="L159" s="27"/>
      <c r="M159" s="27"/>
      <c r="N159" s="27"/>
      <c r="O159" s="27"/>
      <c r="P159" s="27"/>
      <c r="Q159" s="27"/>
      <c r="R159" s="27"/>
      <c r="S159" s="27"/>
      <c r="T159" s="27"/>
    </row>
    <row r="160" spans="1:20" x14ac:dyDescent="0.25">
      <c r="A160" s="27"/>
      <c r="B160" s="27"/>
      <c r="C160" s="27"/>
      <c r="D160" s="27"/>
      <c r="E160" s="27"/>
      <c r="F160" s="27"/>
      <c r="G160" s="27"/>
      <c r="H160" s="27"/>
      <c r="I160" s="27"/>
      <c r="J160" s="27"/>
      <c r="K160" s="27"/>
      <c r="L160" s="27"/>
      <c r="M160" s="27"/>
      <c r="N160" s="27"/>
      <c r="O160" s="27"/>
      <c r="P160" s="27"/>
      <c r="Q160" s="27"/>
      <c r="R160" s="27"/>
      <c r="S160" s="27"/>
      <c r="T160" s="27"/>
    </row>
    <row r="161" spans="1:20" x14ac:dyDescent="0.25">
      <c r="A161" s="27"/>
      <c r="B161" s="27"/>
      <c r="C161" s="27"/>
      <c r="D161" s="27"/>
      <c r="E161" s="27"/>
      <c r="F161" s="27"/>
      <c r="G161" s="27"/>
      <c r="H161" s="27"/>
      <c r="I161" s="27"/>
      <c r="J161" s="27"/>
      <c r="K161" s="27"/>
      <c r="L161" s="27"/>
      <c r="M161" s="27"/>
      <c r="N161" s="27"/>
      <c r="O161" s="27"/>
      <c r="P161" s="27"/>
      <c r="Q161" s="27"/>
      <c r="R161" s="27"/>
      <c r="S161" s="27"/>
      <c r="T161" s="27"/>
    </row>
    <row r="162" spans="1:20" x14ac:dyDescent="0.25">
      <c r="A162" s="27"/>
      <c r="B162" s="27"/>
      <c r="C162" s="27"/>
      <c r="D162" s="27"/>
      <c r="E162" s="27"/>
      <c r="F162" s="27"/>
      <c r="G162" s="27"/>
      <c r="H162" s="27"/>
      <c r="I162" s="27"/>
      <c r="J162" s="27"/>
      <c r="K162" s="27"/>
      <c r="L162" s="27"/>
      <c r="M162" s="27"/>
      <c r="N162" s="27"/>
      <c r="O162" s="27"/>
      <c r="P162" s="27"/>
      <c r="Q162" s="27"/>
      <c r="R162" s="27"/>
      <c r="S162" s="27"/>
      <c r="T162" s="27"/>
    </row>
    <row r="163" spans="1:20" x14ac:dyDescent="0.25">
      <c r="A163" s="27"/>
      <c r="B163" s="27"/>
      <c r="C163" s="27"/>
      <c r="D163" s="27"/>
      <c r="E163" s="27"/>
      <c r="F163" s="27"/>
      <c r="G163" s="27"/>
      <c r="H163" s="27"/>
      <c r="I163" s="27"/>
      <c r="J163" s="27"/>
      <c r="K163" s="27"/>
      <c r="L163" s="27"/>
      <c r="M163" s="27"/>
      <c r="N163" s="27"/>
      <c r="O163" s="27"/>
      <c r="P163" s="27"/>
      <c r="Q163" s="27"/>
      <c r="R163" s="27"/>
      <c r="S163" s="27"/>
      <c r="T163" s="27"/>
    </row>
    <row r="164" spans="1:20" x14ac:dyDescent="0.25">
      <c r="A164" s="27"/>
      <c r="B164" s="27"/>
      <c r="C164" s="27"/>
      <c r="D164" s="27"/>
      <c r="E164" s="27"/>
      <c r="F164" s="27"/>
      <c r="G164" s="27"/>
      <c r="H164" s="27"/>
      <c r="I164" s="27"/>
      <c r="J164" s="27"/>
      <c r="K164" s="27"/>
      <c r="L164" s="27"/>
      <c r="M164" s="27"/>
      <c r="N164" s="27"/>
      <c r="O164" s="27"/>
      <c r="P164" s="27"/>
      <c r="Q164" s="27"/>
      <c r="R164" s="27"/>
      <c r="S164" s="27"/>
      <c r="T164" s="27"/>
    </row>
    <row r="165" spans="1:20" x14ac:dyDescent="0.25">
      <c r="A165" s="27"/>
      <c r="B165" s="27"/>
      <c r="C165" s="27"/>
      <c r="D165" s="27"/>
      <c r="E165" s="27"/>
      <c r="F165" s="27"/>
      <c r="G165" s="27"/>
      <c r="H165" s="27"/>
      <c r="I165" s="27"/>
      <c r="J165" s="27"/>
      <c r="K165" s="27"/>
      <c r="L165" s="27"/>
      <c r="M165" s="27"/>
      <c r="N165" s="27"/>
      <c r="O165" s="27"/>
      <c r="P165" s="27"/>
      <c r="Q165" s="27"/>
      <c r="R165" s="27"/>
      <c r="S165" s="27"/>
      <c r="T165" s="27"/>
    </row>
    <row r="166" spans="1:20" x14ac:dyDescent="0.25">
      <c r="A166" s="27"/>
      <c r="B166" s="27"/>
      <c r="C166" s="27"/>
      <c r="D166" s="27"/>
      <c r="E166" s="27"/>
      <c r="F166" s="27"/>
      <c r="G166" s="27"/>
      <c r="H166" s="27"/>
      <c r="I166" s="27"/>
      <c r="J166" s="27"/>
      <c r="K166" s="27"/>
      <c r="L166" s="27"/>
      <c r="M166" s="27"/>
      <c r="N166" s="27"/>
      <c r="O166" s="27"/>
      <c r="P166" s="27"/>
      <c r="Q166" s="27"/>
      <c r="R166" s="27"/>
      <c r="S166" s="27"/>
      <c r="T166" s="27"/>
    </row>
    <row r="167" spans="1:20" x14ac:dyDescent="0.25">
      <c r="A167" s="27"/>
      <c r="B167" s="27"/>
      <c r="C167" s="27"/>
      <c r="D167" s="27"/>
      <c r="E167" s="27"/>
      <c r="F167" s="27"/>
      <c r="G167" s="27"/>
      <c r="H167" s="27"/>
      <c r="I167" s="27"/>
      <c r="J167" s="27"/>
      <c r="K167" s="27"/>
      <c r="L167" s="27"/>
      <c r="M167" s="27"/>
      <c r="N167" s="27"/>
      <c r="O167" s="27"/>
      <c r="P167" s="27"/>
      <c r="Q167" s="27"/>
      <c r="R167" s="27"/>
      <c r="S167" s="27"/>
      <c r="T167" s="27"/>
    </row>
    <row r="168" spans="1:20" x14ac:dyDescent="0.25">
      <c r="A168" s="27"/>
      <c r="B168" s="27"/>
      <c r="C168" s="27"/>
      <c r="D168" s="27"/>
      <c r="E168" s="27"/>
      <c r="F168" s="27"/>
      <c r="G168" s="27"/>
      <c r="H168" s="27"/>
      <c r="I168" s="27"/>
      <c r="J168" s="27"/>
      <c r="K168" s="27"/>
      <c r="L168" s="27"/>
      <c r="M168" s="27"/>
      <c r="N168" s="27"/>
      <c r="O168" s="27"/>
      <c r="P168" s="27"/>
      <c r="Q168" s="27"/>
      <c r="R168" s="27"/>
      <c r="S168" s="27"/>
      <c r="T168" s="27"/>
    </row>
    <row r="169" spans="1:20" x14ac:dyDescent="0.25">
      <c r="A169" s="27"/>
      <c r="B169" s="27"/>
      <c r="C169" s="27"/>
      <c r="D169" s="27"/>
      <c r="E169" s="27"/>
      <c r="F169" s="27"/>
      <c r="G169" s="27"/>
      <c r="H169" s="27"/>
      <c r="I169" s="27"/>
      <c r="J169" s="27"/>
      <c r="K169" s="27"/>
      <c r="L169" s="27"/>
      <c r="M169" s="27"/>
      <c r="N169" s="27"/>
      <c r="O169" s="27"/>
      <c r="P169" s="27"/>
      <c r="Q169" s="27"/>
      <c r="R169" s="27"/>
      <c r="S169" s="27"/>
      <c r="T169" s="27"/>
    </row>
    <row r="170" spans="1:20" x14ac:dyDescent="0.25">
      <c r="A170" s="27"/>
      <c r="B170" s="27"/>
      <c r="C170" s="27"/>
      <c r="D170" s="27"/>
      <c r="E170" s="27"/>
      <c r="F170" s="27"/>
      <c r="G170" s="27"/>
      <c r="H170" s="27"/>
      <c r="I170" s="27"/>
      <c r="J170" s="27"/>
      <c r="K170" s="27"/>
      <c r="L170" s="27"/>
      <c r="M170" s="27"/>
      <c r="N170" s="27"/>
      <c r="O170" s="27"/>
      <c r="P170" s="27"/>
      <c r="Q170" s="27"/>
      <c r="R170" s="27"/>
      <c r="S170" s="27"/>
      <c r="T170" s="27"/>
    </row>
    <row r="171" spans="1:20" x14ac:dyDescent="0.25">
      <c r="A171" s="27"/>
      <c r="B171" s="27"/>
      <c r="C171" s="27"/>
      <c r="D171" s="27"/>
      <c r="E171" s="27"/>
      <c r="F171" s="27"/>
      <c r="G171" s="27"/>
      <c r="H171" s="27"/>
      <c r="I171" s="27"/>
      <c r="J171" s="27"/>
      <c r="K171" s="27"/>
      <c r="L171" s="27"/>
      <c r="M171" s="27"/>
      <c r="N171" s="27"/>
      <c r="O171" s="27"/>
      <c r="P171" s="27"/>
      <c r="Q171" s="27"/>
      <c r="R171" s="27"/>
      <c r="S171" s="27"/>
      <c r="T171" s="27"/>
    </row>
    <row r="172" spans="1:20" x14ac:dyDescent="0.25">
      <c r="A172" s="27"/>
      <c r="B172" s="27"/>
      <c r="C172" s="27"/>
      <c r="D172" s="27"/>
      <c r="E172" s="27"/>
      <c r="F172" s="27"/>
      <c r="G172" s="27"/>
      <c r="H172" s="27"/>
      <c r="I172" s="27"/>
      <c r="J172" s="27"/>
      <c r="K172" s="27"/>
      <c r="L172" s="27"/>
      <c r="M172" s="27"/>
      <c r="N172" s="27"/>
      <c r="O172" s="27"/>
      <c r="P172" s="27"/>
      <c r="Q172" s="27"/>
      <c r="R172" s="27"/>
      <c r="S172" s="27"/>
      <c r="T172" s="27"/>
    </row>
    <row r="173" spans="1:20" x14ac:dyDescent="0.25">
      <c r="A173" s="27"/>
      <c r="B173" s="27"/>
      <c r="C173" s="27"/>
      <c r="D173" s="27"/>
      <c r="E173" s="27"/>
      <c r="F173" s="27"/>
      <c r="G173" s="27"/>
      <c r="H173" s="27"/>
      <c r="I173" s="27"/>
      <c r="J173" s="27"/>
      <c r="K173" s="27"/>
      <c r="L173" s="27"/>
      <c r="M173" s="27"/>
      <c r="N173" s="27"/>
      <c r="O173" s="27"/>
      <c r="P173" s="27"/>
      <c r="Q173" s="27"/>
      <c r="R173" s="27"/>
      <c r="S173" s="27"/>
      <c r="T173" s="27"/>
    </row>
    <row r="174" spans="1:20" x14ac:dyDescent="0.25">
      <c r="A174" s="27"/>
      <c r="B174" s="27"/>
      <c r="C174" s="27"/>
      <c r="D174" s="27"/>
      <c r="E174" s="27"/>
      <c r="F174" s="27"/>
      <c r="G174" s="27"/>
      <c r="H174" s="27"/>
      <c r="I174" s="27"/>
      <c r="J174" s="27"/>
      <c r="K174" s="27"/>
      <c r="L174" s="27"/>
      <c r="M174" s="27"/>
      <c r="N174" s="27"/>
      <c r="O174" s="27"/>
      <c r="P174" s="27"/>
      <c r="Q174" s="27"/>
      <c r="R174" s="27"/>
      <c r="S174" s="27"/>
      <c r="T174" s="27"/>
    </row>
    <row r="175" spans="1:20" x14ac:dyDescent="0.25">
      <c r="A175" s="27"/>
      <c r="B175" s="27"/>
      <c r="C175" s="27"/>
      <c r="D175" s="27"/>
      <c r="E175" s="27"/>
      <c r="F175" s="27"/>
      <c r="G175" s="27"/>
      <c r="H175" s="27"/>
      <c r="I175" s="27"/>
      <c r="J175" s="27"/>
      <c r="K175" s="27"/>
      <c r="L175" s="27"/>
      <c r="M175" s="27"/>
      <c r="N175" s="27"/>
      <c r="O175" s="27"/>
      <c r="P175" s="27"/>
      <c r="Q175" s="27"/>
      <c r="R175" s="27"/>
      <c r="S175" s="27"/>
      <c r="T175" s="27"/>
    </row>
    <row r="176" spans="1:20" x14ac:dyDescent="0.25">
      <c r="A176" s="27"/>
      <c r="B176" s="27"/>
      <c r="C176" s="27"/>
      <c r="D176" s="27"/>
      <c r="E176" s="27"/>
      <c r="F176" s="27"/>
      <c r="G176" s="27"/>
      <c r="H176" s="27"/>
      <c r="I176" s="27"/>
      <c r="J176" s="27"/>
      <c r="K176" s="27"/>
      <c r="L176" s="27"/>
      <c r="M176" s="27"/>
      <c r="N176" s="27"/>
      <c r="O176" s="27"/>
      <c r="P176" s="27"/>
      <c r="Q176" s="27"/>
      <c r="R176" s="27"/>
      <c r="S176" s="27"/>
      <c r="T176" s="27"/>
    </row>
    <row r="177" spans="1:20" x14ac:dyDescent="0.25">
      <c r="A177" s="27"/>
      <c r="B177" s="27"/>
      <c r="C177" s="27"/>
      <c r="D177" s="27"/>
      <c r="E177" s="27"/>
      <c r="F177" s="27"/>
      <c r="G177" s="27"/>
      <c r="H177" s="27"/>
      <c r="I177" s="27"/>
      <c r="J177" s="27"/>
      <c r="K177" s="27"/>
      <c r="L177" s="27"/>
      <c r="M177" s="27"/>
      <c r="N177" s="27"/>
      <c r="O177" s="27"/>
      <c r="P177" s="27"/>
      <c r="Q177" s="27"/>
      <c r="R177" s="27"/>
      <c r="S177" s="27"/>
      <c r="T177" s="27"/>
    </row>
    <row r="178" spans="1:20" x14ac:dyDescent="0.25">
      <c r="A178" s="27"/>
      <c r="B178" s="27"/>
      <c r="C178" s="27"/>
      <c r="D178" s="27"/>
      <c r="E178" s="27"/>
      <c r="F178" s="27"/>
      <c r="G178" s="27"/>
      <c r="H178" s="27"/>
      <c r="I178" s="27"/>
      <c r="J178" s="27"/>
      <c r="K178" s="27"/>
      <c r="L178" s="27"/>
      <c r="M178" s="27"/>
      <c r="N178" s="27"/>
      <c r="O178" s="27"/>
      <c r="P178" s="27"/>
      <c r="Q178" s="27"/>
      <c r="R178" s="27"/>
      <c r="S178" s="27"/>
      <c r="T178" s="27"/>
    </row>
    <row r="179" spans="1:20" x14ac:dyDescent="0.25">
      <c r="A179" s="27"/>
      <c r="B179" s="27"/>
      <c r="C179" s="27"/>
      <c r="D179" s="27"/>
      <c r="E179" s="27"/>
      <c r="F179" s="27"/>
      <c r="G179" s="27"/>
      <c r="H179" s="27"/>
      <c r="I179" s="27"/>
      <c r="J179" s="27"/>
      <c r="K179" s="27"/>
      <c r="L179" s="27"/>
      <c r="M179" s="27"/>
      <c r="N179" s="27"/>
      <c r="O179" s="27"/>
      <c r="P179" s="27"/>
      <c r="Q179" s="27"/>
      <c r="R179" s="27"/>
      <c r="S179" s="27"/>
      <c r="T179" s="27"/>
    </row>
    <row r="180" spans="1:20" x14ac:dyDescent="0.25">
      <c r="A180" s="27"/>
      <c r="B180" s="27"/>
      <c r="C180" s="27"/>
      <c r="D180" s="27"/>
      <c r="E180" s="27"/>
      <c r="F180" s="27"/>
      <c r="G180" s="27"/>
      <c r="H180" s="27"/>
      <c r="I180" s="27"/>
      <c r="J180" s="27"/>
      <c r="K180" s="27"/>
      <c r="L180" s="27"/>
      <c r="M180" s="27"/>
      <c r="N180" s="27"/>
      <c r="O180" s="27"/>
      <c r="P180" s="27"/>
      <c r="Q180" s="27"/>
      <c r="R180" s="27"/>
      <c r="S180" s="27"/>
      <c r="T180" s="27"/>
    </row>
    <row r="181" spans="1:20" x14ac:dyDescent="0.25">
      <c r="A181" s="27"/>
      <c r="B181" s="27"/>
      <c r="C181" s="27"/>
      <c r="D181" s="27"/>
      <c r="E181" s="27"/>
      <c r="F181" s="27"/>
      <c r="G181" s="27"/>
      <c r="H181" s="27"/>
      <c r="I181" s="27"/>
      <c r="J181" s="27"/>
      <c r="K181" s="27"/>
      <c r="L181" s="27"/>
      <c r="M181" s="27"/>
      <c r="N181" s="27"/>
      <c r="O181" s="27"/>
      <c r="P181" s="27"/>
      <c r="Q181" s="27"/>
      <c r="R181" s="27"/>
      <c r="S181" s="27"/>
      <c r="T181" s="27"/>
    </row>
    <row r="182" spans="1:20" x14ac:dyDescent="0.25">
      <c r="A182" s="27"/>
      <c r="B182" s="27"/>
      <c r="C182" s="27"/>
      <c r="D182" s="27"/>
      <c r="E182" s="27"/>
      <c r="F182" s="27"/>
      <c r="G182" s="27"/>
      <c r="H182" s="27"/>
      <c r="I182" s="27"/>
      <c r="J182" s="27"/>
      <c r="K182" s="27"/>
      <c r="L182" s="27"/>
      <c r="M182" s="27"/>
      <c r="N182" s="27"/>
      <c r="O182" s="27"/>
      <c r="P182" s="27"/>
      <c r="Q182" s="27"/>
      <c r="R182" s="27"/>
      <c r="S182" s="27"/>
      <c r="T182" s="27"/>
    </row>
    <row r="183" spans="1:20" x14ac:dyDescent="0.25">
      <c r="A183" s="27"/>
      <c r="B183" s="27"/>
      <c r="C183" s="27"/>
      <c r="D183" s="27"/>
      <c r="E183" s="27"/>
      <c r="F183" s="27"/>
      <c r="G183" s="27"/>
      <c r="H183" s="27"/>
      <c r="I183" s="27"/>
      <c r="J183" s="27"/>
      <c r="K183" s="27"/>
      <c r="L183" s="27"/>
      <c r="M183" s="27"/>
      <c r="N183" s="27"/>
      <c r="O183" s="27"/>
      <c r="P183" s="27"/>
      <c r="Q183" s="27"/>
      <c r="R183" s="27"/>
      <c r="S183" s="27"/>
      <c r="T183" s="27"/>
    </row>
    <row r="184" spans="1:20" x14ac:dyDescent="0.25">
      <c r="A184" s="27"/>
      <c r="B184" s="27"/>
      <c r="C184" s="27"/>
      <c r="D184" s="27"/>
      <c r="E184" s="27"/>
      <c r="F184" s="27"/>
      <c r="G184" s="27"/>
      <c r="H184" s="27"/>
      <c r="I184" s="27"/>
      <c r="J184" s="27"/>
      <c r="K184" s="27"/>
      <c r="L184" s="27"/>
      <c r="M184" s="27"/>
      <c r="N184" s="27"/>
      <c r="O184" s="27"/>
      <c r="P184" s="27"/>
      <c r="Q184" s="27"/>
      <c r="R184" s="27"/>
      <c r="S184" s="27"/>
      <c r="T184" s="27"/>
    </row>
    <row r="185" spans="1:20" x14ac:dyDescent="0.25">
      <c r="A185" s="27"/>
      <c r="B185" s="27"/>
      <c r="C185" s="27"/>
      <c r="D185" s="27"/>
      <c r="E185" s="27"/>
      <c r="F185" s="27"/>
      <c r="G185" s="27"/>
      <c r="H185" s="27"/>
      <c r="I185" s="27"/>
      <c r="J185" s="27"/>
      <c r="K185" s="27"/>
      <c r="L185" s="27"/>
      <c r="M185" s="27"/>
      <c r="N185" s="27"/>
      <c r="O185" s="27"/>
      <c r="P185" s="27"/>
      <c r="Q185" s="27"/>
      <c r="R185" s="27"/>
      <c r="S185" s="27"/>
      <c r="T185" s="27"/>
    </row>
    <row r="186" spans="1:20" x14ac:dyDescent="0.25">
      <c r="A186" s="27"/>
      <c r="B186" s="27"/>
      <c r="C186" s="27"/>
      <c r="D186" s="27"/>
      <c r="E186" s="27"/>
      <c r="F186" s="27"/>
      <c r="G186" s="27"/>
      <c r="H186" s="27"/>
      <c r="I186" s="27"/>
      <c r="J186" s="27"/>
      <c r="K186" s="27"/>
      <c r="L186" s="27"/>
      <c r="M186" s="27"/>
      <c r="N186" s="27"/>
      <c r="O186" s="27"/>
      <c r="P186" s="27"/>
      <c r="Q186" s="27"/>
      <c r="R186" s="27"/>
      <c r="S186" s="27"/>
      <c r="T186" s="27"/>
    </row>
    <row r="187" spans="1:20" x14ac:dyDescent="0.25">
      <c r="A187" s="27"/>
      <c r="B187" s="27"/>
      <c r="C187" s="27"/>
      <c r="D187" s="27"/>
      <c r="E187" s="27"/>
      <c r="F187" s="27"/>
      <c r="G187" s="27"/>
      <c r="H187" s="27"/>
      <c r="I187" s="27"/>
      <c r="J187" s="27"/>
      <c r="K187" s="27"/>
      <c r="L187" s="27"/>
      <c r="M187" s="27"/>
      <c r="N187" s="27"/>
      <c r="O187" s="27"/>
      <c r="P187" s="27"/>
      <c r="Q187" s="27"/>
      <c r="R187" s="27"/>
      <c r="S187" s="27"/>
      <c r="T187" s="27"/>
    </row>
    <row r="188" spans="1:20" x14ac:dyDescent="0.25">
      <c r="A188" s="27"/>
      <c r="B188" s="27"/>
      <c r="C188" s="27"/>
      <c r="D188" s="27"/>
      <c r="E188" s="27"/>
      <c r="F188" s="27"/>
      <c r="G188" s="27"/>
      <c r="H188" s="27"/>
      <c r="I188" s="27"/>
      <c r="J188" s="27"/>
      <c r="K188" s="27"/>
      <c r="L188" s="27"/>
      <c r="M188" s="27"/>
      <c r="N188" s="27"/>
      <c r="O188" s="27"/>
      <c r="P188" s="27"/>
      <c r="Q188" s="27"/>
      <c r="R188" s="27"/>
      <c r="S188" s="27"/>
      <c r="T188" s="27"/>
    </row>
    <row r="189" spans="1:20" x14ac:dyDescent="0.25">
      <c r="A189" s="27"/>
      <c r="B189" s="27"/>
      <c r="C189" s="27"/>
      <c r="D189" s="27"/>
      <c r="E189" s="27"/>
      <c r="F189" s="27"/>
      <c r="G189" s="27"/>
      <c r="H189" s="27"/>
      <c r="I189" s="27"/>
      <c r="J189" s="27"/>
      <c r="K189" s="27"/>
      <c r="L189" s="27"/>
      <c r="M189" s="27"/>
      <c r="N189" s="27"/>
      <c r="O189" s="27"/>
      <c r="P189" s="27"/>
      <c r="Q189" s="27"/>
      <c r="R189" s="27"/>
      <c r="S189" s="27"/>
      <c r="T189" s="27"/>
    </row>
    <row r="190" spans="1:20" x14ac:dyDescent="0.25">
      <c r="A190" s="27"/>
      <c r="B190" s="27"/>
      <c r="C190" s="27"/>
      <c r="D190" s="27"/>
      <c r="E190" s="27"/>
      <c r="F190" s="27"/>
      <c r="G190" s="27"/>
      <c r="H190" s="27"/>
      <c r="I190" s="27"/>
      <c r="J190" s="27"/>
      <c r="K190" s="27"/>
      <c r="L190" s="27"/>
      <c r="M190" s="27"/>
      <c r="N190" s="27"/>
      <c r="O190" s="27"/>
      <c r="P190" s="27"/>
      <c r="Q190" s="27"/>
      <c r="R190" s="27"/>
      <c r="S190" s="27"/>
      <c r="T190" s="27"/>
    </row>
    <row r="191" spans="1:20" x14ac:dyDescent="0.25">
      <c r="A191" s="27"/>
      <c r="B191" s="27"/>
      <c r="C191" s="27"/>
      <c r="D191" s="27"/>
      <c r="E191" s="27"/>
      <c r="F191" s="27"/>
      <c r="G191" s="27"/>
      <c r="H191" s="27"/>
      <c r="I191" s="27"/>
      <c r="J191" s="27"/>
      <c r="K191" s="27"/>
      <c r="L191" s="27"/>
      <c r="M191" s="27"/>
      <c r="N191" s="27"/>
      <c r="O191" s="27"/>
      <c r="P191" s="27"/>
      <c r="Q191" s="27"/>
      <c r="R191" s="27"/>
      <c r="S191" s="27"/>
      <c r="T191" s="27"/>
    </row>
    <row r="192" spans="1:20" x14ac:dyDescent="0.25">
      <c r="A192" s="27"/>
      <c r="B192" s="27"/>
      <c r="C192" s="27"/>
      <c r="D192" s="27"/>
      <c r="E192" s="27"/>
      <c r="F192" s="27"/>
      <c r="G192" s="27"/>
      <c r="H192" s="27"/>
      <c r="I192" s="27"/>
      <c r="J192" s="27"/>
      <c r="K192" s="27"/>
      <c r="L192" s="27"/>
      <c r="M192" s="27"/>
      <c r="N192" s="27"/>
      <c r="O192" s="27"/>
      <c r="P192" s="27"/>
      <c r="Q192" s="27"/>
      <c r="R192" s="27"/>
      <c r="S192" s="27"/>
      <c r="T192" s="27"/>
    </row>
    <row r="193" spans="1:20" x14ac:dyDescent="0.25">
      <c r="A193" s="27"/>
      <c r="B193" s="27"/>
      <c r="C193" s="27"/>
      <c r="D193" s="27"/>
      <c r="E193" s="27"/>
      <c r="F193" s="27"/>
      <c r="G193" s="27"/>
      <c r="H193" s="27"/>
      <c r="I193" s="27"/>
      <c r="J193" s="27"/>
      <c r="K193" s="27"/>
      <c r="L193" s="27"/>
      <c r="M193" s="27"/>
      <c r="N193" s="27"/>
      <c r="O193" s="27"/>
      <c r="P193" s="27"/>
      <c r="Q193" s="27"/>
      <c r="R193" s="27"/>
      <c r="S193" s="27"/>
      <c r="T193" s="27"/>
    </row>
    <row r="194" spans="1:20" x14ac:dyDescent="0.25">
      <c r="A194" s="27"/>
      <c r="B194" s="27"/>
      <c r="C194" s="27"/>
      <c r="D194" s="27"/>
      <c r="E194" s="27"/>
      <c r="F194" s="27"/>
      <c r="G194" s="27"/>
      <c r="H194" s="27"/>
      <c r="I194" s="27"/>
      <c r="J194" s="27"/>
      <c r="K194" s="27"/>
      <c r="L194" s="27"/>
      <c r="M194" s="27"/>
      <c r="N194" s="27"/>
      <c r="O194" s="27"/>
      <c r="P194" s="27"/>
      <c r="Q194" s="27"/>
      <c r="R194" s="27"/>
      <c r="S194" s="27"/>
      <c r="T194" s="27"/>
    </row>
    <row r="195" spans="1:20" x14ac:dyDescent="0.25">
      <c r="A195" s="27"/>
      <c r="B195" s="27"/>
      <c r="C195" s="27"/>
      <c r="D195" s="27"/>
      <c r="E195" s="27"/>
      <c r="F195" s="27"/>
      <c r="G195" s="27"/>
      <c r="H195" s="27"/>
      <c r="I195" s="27"/>
      <c r="J195" s="27"/>
      <c r="K195" s="27"/>
      <c r="L195" s="27"/>
      <c r="M195" s="27"/>
      <c r="N195" s="27"/>
      <c r="O195" s="27"/>
      <c r="P195" s="27"/>
      <c r="Q195" s="27"/>
      <c r="R195" s="27"/>
      <c r="S195" s="27"/>
      <c r="T195" s="27"/>
    </row>
    <row r="196" spans="1:20" x14ac:dyDescent="0.25">
      <c r="A196" s="27"/>
      <c r="B196" s="27"/>
      <c r="C196" s="27"/>
      <c r="D196" s="27"/>
      <c r="E196" s="27"/>
      <c r="F196" s="27"/>
      <c r="G196" s="27"/>
      <c r="H196" s="27"/>
      <c r="I196" s="27"/>
      <c r="J196" s="27"/>
      <c r="K196" s="27"/>
      <c r="L196" s="27"/>
      <c r="M196" s="27"/>
      <c r="N196" s="27"/>
      <c r="O196" s="27"/>
      <c r="P196" s="27"/>
      <c r="Q196" s="27"/>
      <c r="R196" s="27"/>
      <c r="S196" s="27"/>
      <c r="T196" s="27"/>
    </row>
    <row r="197" spans="1:20" x14ac:dyDescent="0.25">
      <c r="A197" s="27"/>
      <c r="B197" s="27"/>
      <c r="C197" s="27"/>
      <c r="D197" s="27"/>
      <c r="E197" s="27"/>
      <c r="F197" s="27"/>
      <c r="G197" s="27"/>
      <c r="H197" s="27"/>
      <c r="I197" s="27"/>
      <c r="J197" s="27"/>
      <c r="K197" s="27"/>
      <c r="L197" s="27"/>
      <c r="M197" s="27"/>
      <c r="N197" s="27"/>
      <c r="O197" s="27"/>
      <c r="P197" s="27"/>
      <c r="Q197" s="27"/>
      <c r="R197" s="27"/>
      <c r="S197" s="27"/>
      <c r="T197" s="27"/>
    </row>
    <row r="198" spans="1:20" x14ac:dyDescent="0.25">
      <c r="A198" s="27"/>
      <c r="B198" s="27"/>
      <c r="C198" s="27"/>
      <c r="D198" s="27"/>
      <c r="E198" s="27"/>
      <c r="F198" s="27"/>
      <c r="G198" s="27"/>
      <c r="H198" s="27"/>
      <c r="I198" s="27"/>
      <c r="J198" s="27"/>
      <c r="K198" s="27"/>
      <c r="L198" s="27"/>
      <c r="M198" s="27"/>
      <c r="N198" s="27"/>
      <c r="O198" s="27"/>
      <c r="P198" s="27"/>
      <c r="Q198" s="27"/>
      <c r="R198" s="27"/>
      <c r="S198" s="27"/>
      <c r="T198" s="27"/>
    </row>
    <row r="199" spans="1:20" x14ac:dyDescent="0.25">
      <c r="A199" s="27"/>
      <c r="B199" s="27"/>
      <c r="C199" s="27"/>
      <c r="D199" s="27"/>
      <c r="E199" s="27"/>
      <c r="F199" s="27"/>
      <c r="G199" s="27"/>
      <c r="H199" s="27"/>
      <c r="I199" s="27"/>
      <c r="J199" s="27"/>
      <c r="K199" s="27"/>
      <c r="L199" s="27"/>
      <c r="M199" s="27"/>
      <c r="N199" s="27"/>
      <c r="O199" s="27"/>
      <c r="P199" s="27"/>
      <c r="Q199" s="27"/>
      <c r="R199" s="27"/>
      <c r="S199" s="27"/>
      <c r="T199" s="27"/>
    </row>
    <row r="200" spans="1:20" x14ac:dyDescent="0.25">
      <c r="A200" s="27"/>
      <c r="B200" s="27"/>
      <c r="C200" s="27"/>
      <c r="D200" s="27"/>
      <c r="E200" s="27"/>
      <c r="F200" s="27"/>
      <c r="G200" s="27"/>
      <c r="H200" s="27"/>
      <c r="I200" s="27"/>
      <c r="J200" s="27"/>
      <c r="K200" s="27"/>
      <c r="L200" s="27"/>
      <c r="M200" s="27"/>
      <c r="N200" s="27"/>
      <c r="O200" s="27"/>
      <c r="P200" s="27"/>
      <c r="Q200" s="27"/>
      <c r="R200" s="27"/>
      <c r="S200" s="27"/>
      <c r="T200" s="27"/>
    </row>
  </sheetData>
  <mergeCells count="2">
    <mergeCell ref="A2:Q2"/>
    <mergeCell ref="A1:Q1"/>
  </mergeCells>
  <conditionalFormatting sqref="O6:O300">
    <cfRule type="containsText" dxfId="19" priority="1" operator="containsText" text="Open"/>
    <cfRule type="containsText" dxfId="18" priority="3" operator="containsText" text="Approved"/>
    <cfRule type="containsText" dxfId="17" priority="5" operator="containsText" text="In Progress"/>
    <cfRule type="containsText" dxfId="16" priority="6" operator="containsText" text="Draft"/>
  </conditionalFormatting>
  <dataValidations count="5">
    <dataValidation type="list" allowBlank="1" sqref="D6:D400" xr:uid="{00000000-0002-0000-0500-000000000000}">
      <formula1>"Bronze,Silver,Gold"</formula1>
    </dataValidation>
    <dataValidation type="list" allowBlank="1" sqref="G6:G400" xr:uid="{00000000-0002-0000-0500-000001000000}">
      <formula1>"Required,Format,Allowed Value,Range,Uniqueness,Referential Integrity,Timeliness,Cross-Field Consistency,Duplicate Detection,Business Logic,Anomaly / Variance"</formula1>
    </dataValidation>
    <dataValidation type="list" allowBlank="1" sqref="I6:I400" xr:uid="{00000000-0002-0000-0500-000002000000}">
      <formula1>"High,Medium,Low"</formula1>
    </dataValidation>
    <dataValidation type="list" allowBlank="1" sqref="O6:O400" xr:uid="{00000000-0002-0000-0500-000003000000}">
      <formula1>"Not Started,Draft,In Progress,Implemented,Blocked,Retired"</formula1>
    </dataValidation>
    <dataValidation type="list" allowBlank="1" sqref="P6:P400" xr:uid="{00000000-0002-0000-0500-000004000000}">
      <formula1>"Yes,No"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200"/>
  <sheetViews>
    <sheetView workbookViewId="0">
      <pane ySplit="3" topLeftCell="A4" activePane="bottomLeft" state="frozen"/>
      <selection pane="bottomLeft" activeCell="C15" sqref="C15"/>
    </sheetView>
  </sheetViews>
  <sheetFormatPr defaultRowHeight="15" x14ac:dyDescent="0.25"/>
  <cols>
    <col min="1" max="1" width="10" style="1" customWidth="1"/>
    <col min="2" max="2" width="22" style="1" customWidth="1"/>
    <col min="3" max="3" width="28" style="1" customWidth="1"/>
    <col min="4" max="4" width="22" style="1" customWidth="1"/>
    <col min="5" max="6" width="18" style="1" customWidth="1"/>
    <col min="7" max="7" width="20" style="1" customWidth="1"/>
    <col min="8" max="8" width="12" style="1" customWidth="1"/>
    <col min="9" max="9" width="16" style="1" customWidth="1"/>
    <col min="10" max="10" width="12" style="1" customWidth="1"/>
    <col min="11" max="12" width="14" style="1" customWidth="1"/>
    <col min="13" max="13" width="15" style="1" customWidth="1"/>
    <col min="14" max="15" width="12" style="1" customWidth="1"/>
    <col min="16" max="16" width="26" style="1" customWidth="1"/>
    <col min="17" max="17" width="11" style="1" customWidth="1"/>
    <col min="18" max="18" width="24" style="1" customWidth="1"/>
  </cols>
  <sheetData>
    <row r="1" spans="1:52" ht="24" customHeight="1" x14ac:dyDescent="0.25">
      <c r="A1" s="59" t="s">
        <v>36</v>
      </c>
      <c r="B1" s="59"/>
      <c r="C1" s="59"/>
      <c r="D1" s="59"/>
      <c r="E1" s="59"/>
      <c r="F1" s="59"/>
      <c r="G1" s="59"/>
      <c r="H1" s="59"/>
      <c r="I1" s="59"/>
      <c r="J1" s="59"/>
      <c r="K1" s="59"/>
      <c r="L1" s="59"/>
      <c r="M1" s="59"/>
      <c r="N1" s="59"/>
      <c r="O1" s="59"/>
      <c r="P1" s="59"/>
      <c r="Q1" s="59"/>
      <c r="R1" s="41"/>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343</v>
      </c>
      <c r="B2" s="57"/>
      <c r="C2" s="57"/>
      <c r="D2" s="57"/>
      <c r="E2" s="57"/>
      <c r="F2" s="57"/>
      <c r="G2" s="57"/>
      <c r="H2" s="57"/>
      <c r="I2" s="57"/>
      <c r="J2" s="57"/>
      <c r="K2" s="57"/>
      <c r="L2" s="57"/>
      <c r="M2" s="57"/>
      <c r="N2" s="57"/>
      <c r="O2" s="57"/>
      <c r="P2" s="57"/>
      <c r="Q2" s="58"/>
      <c r="R2" s="44"/>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344</v>
      </c>
      <c r="B3" s="24"/>
      <c r="C3" s="24"/>
      <c r="D3" s="24"/>
      <c r="E3" s="24"/>
      <c r="F3" s="24"/>
      <c r="G3" s="26" t="s">
        <v>345</v>
      </c>
      <c r="H3" s="26"/>
      <c r="I3" s="26"/>
      <c r="J3" s="26"/>
      <c r="K3" s="25" t="s">
        <v>346</v>
      </c>
      <c r="L3" s="25"/>
      <c r="M3" s="25"/>
      <c r="N3" s="25"/>
      <c r="O3" s="25"/>
      <c r="P3" s="29" t="s">
        <v>347</v>
      </c>
      <c r="Q3" s="29"/>
      <c r="R3" s="29"/>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348</v>
      </c>
      <c r="B4" s="49" t="s">
        <v>349</v>
      </c>
      <c r="C4" s="49" t="s">
        <v>350</v>
      </c>
      <c r="D4" s="49" t="s">
        <v>351</v>
      </c>
      <c r="E4" s="49" t="s">
        <v>352</v>
      </c>
      <c r="F4" s="49" t="s">
        <v>101</v>
      </c>
      <c r="G4" s="49" t="s">
        <v>353</v>
      </c>
      <c r="H4" s="49" t="s">
        <v>104</v>
      </c>
      <c r="I4" s="49" t="s">
        <v>354</v>
      </c>
      <c r="J4" s="49" t="s">
        <v>355</v>
      </c>
      <c r="K4" s="49" t="s">
        <v>356</v>
      </c>
      <c r="L4" s="49" t="s">
        <v>357</v>
      </c>
      <c r="M4" s="49" t="s">
        <v>358</v>
      </c>
      <c r="N4" s="49" t="s">
        <v>212</v>
      </c>
      <c r="O4" s="49" t="s">
        <v>359</v>
      </c>
      <c r="P4" s="49" t="s">
        <v>360</v>
      </c>
      <c r="Q4" s="49" t="s">
        <v>66</v>
      </c>
      <c r="R4" s="49" t="s">
        <v>67</v>
      </c>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361</v>
      </c>
      <c r="B5" s="23" t="s">
        <v>362</v>
      </c>
      <c r="C5" s="23" t="s">
        <v>363</v>
      </c>
      <c r="D5" s="23" t="s">
        <v>364</v>
      </c>
      <c r="E5" s="23" t="s">
        <v>365</v>
      </c>
      <c r="F5" s="23" t="s">
        <v>366</v>
      </c>
      <c r="G5" s="23" t="s">
        <v>367</v>
      </c>
      <c r="H5" s="23" t="s">
        <v>368</v>
      </c>
      <c r="I5" s="23" t="s">
        <v>369</v>
      </c>
      <c r="J5" s="23" t="s">
        <v>370</v>
      </c>
      <c r="K5" s="23" t="s">
        <v>371</v>
      </c>
      <c r="L5" s="23" t="s">
        <v>372</v>
      </c>
      <c r="M5" s="23" t="s">
        <v>373</v>
      </c>
      <c r="N5" s="23" t="s">
        <v>374</v>
      </c>
      <c r="O5" s="23" t="s">
        <v>375</v>
      </c>
      <c r="P5" s="23" t="s">
        <v>376</v>
      </c>
      <c r="Q5" s="23" t="s">
        <v>377</v>
      </c>
      <c r="R5" s="23" t="s">
        <v>378</v>
      </c>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54" x14ac:dyDescent="0.25">
      <c r="A6" s="27" t="s">
        <v>379</v>
      </c>
      <c r="B6" s="27" t="s">
        <v>380</v>
      </c>
      <c r="C6" s="27" t="s">
        <v>381</v>
      </c>
      <c r="D6" s="27" t="s">
        <v>382</v>
      </c>
      <c r="E6" s="27" t="s">
        <v>181</v>
      </c>
      <c r="F6" s="27" t="s">
        <v>383</v>
      </c>
      <c r="G6" s="27" t="s">
        <v>384</v>
      </c>
      <c r="H6" s="27" t="s">
        <v>146</v>
      </c>
      <c r="I6" s="27" t="s">
        <v>385</v>
      </c>
      <c r="J6" s="27" t="s">
        <v>386</v>
      </c>
      <c r="K6" s="27" t="s">
        <v>137</v>
      </c>
      <c r="L6" s="27" t="s">
        <v>138</v>
      </c>
      <c r="M6" s="27" t="s">
        <v>387</v>
      </c>
      <c r="N6" s="27" t="s">
        <v>263</v>
      </c>
      <c r="O6" s="27" t="s">
        <v>141</v>
      </c>
      <c r="P6" s="27" t="s">
        <v>388</v>
      </c>
      <c r="Q6" s="27" t="s">
        <v>190</v>
      </c>
      <c r="R6" s="27" t="s">
        <v>389</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x14ac:dyDescent="0.25">
      <c r="A7" s="27"/>
      <c r="B7" s="27"/>
      <c r="C7" s="27"/>
      <c r="D7" s="27"/>
      <c r="E7" s="27"/>
      <c r="F7" s="27"/>
      <c r="G7" s="27"/>
      <c r="H7" s="27"/>
      <c r="I7" s="27"/>
      <c r="J7" s="27"/>
      <c r="K7" s="27"/>
      <c r="L7" s="27"/>
      <c r="M7" s="27"/>
      <c r="N7" s="27"/>
      <c r="O7" s="27"/>
      <c r="P7" s="27"/>
      <c r="Q7" s="27"/>
      <c r="R7" s="27"/>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7"/>
      <c r="D8" s="27"/>
      <c r="E8" s="27"/>
      <c r="F8" s="27"/>
      <c r="G8" s="27"/>
      <c r="H8" s="27"/>
      <c r="I8" s="27"/>
      <c r="J8" s="27"/>
      <c r="K8" s="27"/>
      <c r="L8" s="27"/>
      <c r="M8" s="27"/>
      <c r="N8" s="27"/>
      <c r="O8" s="27"/>
      <c r="P8" s="27"/>
      <c r="Q8" s="27"/>
      <c r="R8" s="27"/>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7"/>
      <c r="D9" s="27"/>
      <c r="E9" s="27"/>
      <c r="F9" s="27"/>
      <c r="G9" s="27"/>
      <c r="H9" s="27"/>
      <c r="I9" s="27"/>
      <c r="J9" s="27"/>
      <c r="K9" s="27"/>
      <c r="L9" s="27"/>
      <c r="M9" s="27"/>
      <c r="N9" s="27"/>
      <c r="O9" s="27"/>
      <c r="P9" s="27"/>
      <c r="Q9" s="27"/>
      <c r="R9" s="27"/>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7"/>
      <c r="D10" s="27"/>
      <c r="E10" s="27"/>
      <c r="F10" s="27"/>
      <c r="G10" s="27"/>
      <c r="H10" s="27"/>
      <c r="I10" s="27"/>
      <c r="J10" s="27"/>
      <c r="K10" s="27"/>
      <c r="L10" s="27"/>
      <c r="M10" s="27"/>
      <c r="N10" s="27"/>
      <c r="O10" s="27"/>
      <c r="P10" s="27"/>
      <c r="Q10" s="27"/>
      <c r="R10" s="27"/>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7"/>
      <c r="D11" s="27"/>
      <c r="E11" s="27"/>
      <c r="F11" s="27"/>
      <c r="G11" s="27"/>
      <c r="H11" s="27"/>
      <c r="I11" s="27"/>
      <c r="J11" s="27"/>
      <c r="K11" s="27"/>
      <c r="L11" s="27"/>
      <c r="M11" s="27"/>
      <c r="N11" s="27"/>
      <c r="O11" s="27"/>
      <c r="P11" s="27"/>
      <c r="Q11" s="27"/>
      <c r="R11" s="27"/>
    </row>
    <row r="12" spans="1:52" x14ac:dyDescent="0.25">
      <c r="A12" s="27"/>
      <c r="B12" s="27"/>
      <c r="C12" s="27"/>
      <c r="D12" s="27"/>
      <c r="E12" s="27"/>
      <c r="F12" s="27"/>
      <c r="G12" s="27"/>
      <c r="H12" s="27"/>
      <c r="I12" s="27"/>
      <c r="J12" s="27"/>
      <c r="K12" s="27"/>
      <c r="L12" s="27"/>
      <c r="M12" s="27"/>
      <c r="N12" s="27"/>
      <c r="O12" s="27"/>
      <c r="P12" s="27"/>
      <c r="Q12" s="27"/>
      <c r="R12" s="27"/>
    </row>
    <row r="13" spans="1:52" x14ac:dyDescent="0.25">
      <c r="A13" s="27"/>
      <c r="B13" s="27"/>
      <c r="C13" s="27"/>
      <c r="D13" s="27"/>
      <c r="E13" s="27"/>
      <c r="F13" s="27"/>
      <c r="G13" s="27"/>
      <c r="H13" s="27"/>
      <c r="I13" s="27"/>
      <c r="J13" s="27"/>
      <c r="K13" s="27"/>
      <c r="L13" s="27"/>
      <c r="M13" s="27"/>
      <c r="N13" s="27"/>
      <c r="O13" s="27"/>
      <c r="P13" s="27"/>
      <c r="Q13" s="27"/>
      <c r="R13" s="27"/>
    </row>
    <row r="14" spans="1:52" x14ac:dyDescent="0.25">
      <c r="A14" s="27"/>
      <c r="B14" s="27"/>
      <c r="C14" s="27"/>
      <c r="D14" s="27"/>
      <c r="E14" s="27"/>
      <c r="F14" s="27"/>
      <c r="G14" s="27"/>
      <c r="H14" s="27"/>
      <c r="I14" s="27"/>
      <c r="J14" s="27"/>
      <c r="K14" s="27"/>
      <c r="L14" s="27"/>
      <c r="M14" s="27"/>
      <c r="N14" s="27"/>
      <c r="O14" s="27"/>
      <c r="P14" s="27"/>
      <c r="Q14" s="27"/>
      <c r="R14" s="27"/>
    </row>
    <row r="15" spans="1:52" x14ac:dyDescent="0.25">
      <c r="A15" s="27"/>
      <c r="B15" s="27"/>
      <c r="C15" s="27"/>
      <c r="D15" s="27"/>
      <c r="E15" s="27"/>
      <c r="F15" s="27"/>
      <c r="G15" s="27"/>
      <c r="H15" s="27"/>
      <c r="I15" s="27"/>
      <c r="J15" s="27"/>
      <c r="K15" s="27"/>
      <c r="L15" s="27"/>
      <c r="M15" s="27"/>
      <c r="N15" s="27"/>
      <c r="O15" s="27"/>
      <c r="P15" s="27"/>
      <c r="Q15" s="27"/>
      <c r="R15" s="27"/>
    </row>
    <row r="16" spans="1:52" x14ac:dyDescent="0.25">
      <c r="A16" s="27"/>
      <c r="B16" s="27"/>
      <c r="C16" s="27"/>
      <c r="D16" s="27"/>
      <c r="E16" s="27"/>
      <c r="F16" s="27"/>
      <c r="G16" s="27"/>
      <c r="H16" s="27"/>
      <c r="I16" s="27"/>
      <c r="J16" s="27"/>
      <c r="K16" s="27"/>
      <c r="L16" s="27"/>
      <c r="M16" s="27"/>
      <c r="N16" s="27"/>
      <c r="O16" s="27"/>
      <c r="P16" s="27"/>
      <c r="Q16" s="27"/>
      <c r="R16" s="27"/>
    </row>
    <row r="17" spans="1:18" x14ac:dyDescent="0.25">
      <c r="A17" s="27"/>
      <c r="B17" s="27"/>
      <c r="C17" s="27"/>
      <c r="D17" s="27"/>
      <c r="E17" s="27"/>
      <c r="F17" s="27"/>
      <c r="G17" s="27"/>
      <c r="H17" s="27"/>
      <c r="I17" s="27"/>
      <c r="J17" s="27"/>
      <c r="K17" s="27"/>
      <c r="L17" s="27"/>
      <c r="M17" s="27"/>
      <c r="N17" s="27"/>
      <c r="O17" s="27"/>
      <c r="P17" s="27"/>
      <c r="Q17" s="27"/>
      <c r="R17" s="27"/>
    </row>
    <row r="18" spans="1:18" x14ac:dyDescent="0.25">
      <c r="A18" s="27"/>
      <c r="B18" s="27"/>
      <c r="C18" s="27"/>
      <c r="D18" s="27"/>
      <c r="E18" s="27"/>
      <c r="F18" s="27"/>
      <c r="G18" s="27"/>
      <c r="H18" s="27"/>
      <c r="I18" s="27"/>
      <c r="J18" s="27"/>
      <c r="K18" s="27"/>
      <c r="L18" s="27"/>
      <c r="M18" s="27"/>
      <c r="N18" s="27"/>
      <c r="O18" s="27"/>
      <c r="P18" s="27"/>
      <c r="Q18" s="27"/>
      <c r="R18" s="27"/>
    </row>
    <row r="19" spans="1:18" x14ac:dyDescent="0.25">
      <c r="A19" s="27"/>
      <c r="B19" s="27"/>
      <c r="C19" s="27"/>
      <c r="D19" s="27"/>
      <c r="E19" s="27"/>
      <c r="F19" s="27"/>
      <c r="G19" s="27"/>
      <c r="H19" s="27"/>
      <c r="I19" s="27"/>
      <c r="J19" s="27"/>
      <c r="K19" s="27"/>
      <c r="L19" s="27"/>
      <c r="M19" s="27"/>
      <c r="N19" s="27"/>
      <c r="O19" s="27"/>
      <c r="P19" s="27"/>
      <c r="Q19" s="27"/>
      <c r="R19" s="27"/>
    </row>
    <row r="20" spans="1:18" x14ac:dyDescent="0.25">
      <c r="A20" s="27"/>
      <c r="B20" s="27"/>
      <c r="C20" s="27"/>
      <c r="D20" s="27"/>
      <c r="E20" s="27"/>
      <c r="F20" s="27"/>
      <c r="G20" s="27"/>
      <c r="H20" s="27"/>
      <c r="I20" s="27"/>
      <c r="J20" s="27"/>
      <c r="K20" s="27"/>
      <c r="L20" s="27"/>
      <c r="M20" s="27"/>
      <c r="N20" s="27"/>
      <c r="O20" s="27"/>
      <c r="P20" s="27"/>
      <c r="Q20" s="27"/>
      <c r="R20" s="27"/>
    </row>
    <row r="21" spans="1:18" x14ac:dyDescent="0.25">
      <c r="A21" s="27"/>
      <c r="B21" s="27"/>
      <c r="C21" s="27"/>
      <c r="D21" s="27"/>
      <c r="E21" s="27"/>
      <c r="F21" s="27"/>
      <c r="G21" s="27"/>
      <c r="H21" s="27"/>
      <c r="I21" s="27"/>
      <c r="J21" s="27"/>
      <c r="K21" s="27"/>
      <c r="L21" s="27"/>
      <c r="M21" s="27"/>
      <c r="N21" s="27"/>
      <c r="O21" s="27"/>
      <c r="P21" s="27"/>
      <c r="Q21" s="27"/>
      <c r="R21" s="27"/>
    </row>
    <row r="22" spans="1:18" x14ac:dyDescent="0.25">
      <c r="A22" s="27"/>
      <c r="B22" s="27"/>
      <c r="C22" s="27"/>
      <c r="D22" s="27"/>
      <c r="E22" s="27"/>
      <c r="F22" s="27"/>
      <c r="G22" s="27"/>
      <c r="H22" s="27"/>
      <c r="I22" s="27"/>
      <c r="J22" s="27"/>
      <c r="K22" s="27"/>
      <c r="L22" s="27"/>
      <c r="M22" s="27"/>
      <c r="N22" s="27"/>
      <c r="O22" s="27"/>
      <c r="P22" s="27"/>
      <c r="Q22" s="27"/>
      <c r="R22" s="27"/>
    </row>
    <row r="23" spans="1:18" x14ac:dyDescent="0.25">
      <c r="A23" s="27"/>
      <c r="B23" s="27"/>
      <c r="C23" s="27"/>
      <c r="D23" s="27"/>
      <c r="E23" s="27"/>
      <c r="F23" s="27"/>
      <c r="G23" s="27"/>
      <c r="H23" s="27"/>
      <c r="I23" s="27"/>
      <c r="J23" s="27"/>
      <c r="K23" s="27"/>
      <c r="L23" s="27"/>
      <c r="M23" s="27"/>
      <c r="N23" s="27"/>
      <c r="O23" s="27"/>
      <c r="P23" s="27"/>
      <c r="Q23" s="27"/>
      <c r="R23" s="27"/>
    </row>
    <row r="24" spans="1:18" x14ac:dyDescent="0.25">
      <c r="A24" s="27"/>
      <c r="B24" s="27"/>
      <c r="C24" s="27"/>
      <c r="D24" s="27"/>
      <c r="E24" s="27"/>
      <c r="F24" s="27"/>
      <c r="G24" s="27"/>
      <c r="H24" s="27"/>
      <c r="I24" s="27"/>
      <c r="J24" s="27"/>
      <c r="K24" s="27"/>
      <c r="L24" s="27"/>
      <c r="M24" s="27"/>
      <c r="N24" s="27"/>
      <c r="O24" s="27"/>
      <c r="P24" s="27"/>
      <c r="Q24" s="27"/>
      <c r="R24" s="27"/>
    </row>
    <row r="25" spans="1:18" x14ac:dyDescent="0.25">
      <c r="A25" s="27"/>
      <c r="B25" s="27"/>
      <c r="C25" s="27"/>
      <c r="D25" s="27"/>
      <c r="E25" s="27"/>
      <c r="F25" s="27"/>
      <c r="G25" s="27"/>
      <c r="H25" s="27"/>
      <c r="I25" s="27"/>
      <c r="J25" s="27"/>
      <c r="K25" s="27"/>
      <c r="L25" s="27"/>
      <c r="M25" s="27"/>
      <c r="N25" s="27"/>
      <c r="O25" s="27"/>
      <c r="P25" s="27"/>
      <c r="Q25" s="27"/>
      <c r="R25" s="27"/>
    </row>
    <row r="26" spans="1:18" x14ac:dyDescent="0.25">
      <c r="A26" s="27"/>
      <c r="B26" s="27"/>
      <c r="C26" s="27"/>
      <c r="D26" s="27"/>
      <c r="E26" s="27"/>
      <c r="F26" s="27"/>
      <c r="G26" s="27"/>
      <c r="H26" s="27"/>
      <c r="I26" s="27"/>
      <c r="J26" s="27"/>
      <c r="K26" s="27"/>
      <c r="L26" s="27"/>
      <c r="M26" s="27"/>
      <c r="N26" s="27"/>
      <c r="O26" s="27"/>
      <c r="P26" s="27"/>
      <c r="Q26" s="27"/>
      <c r="R26" s="27"/>
    </row>
    <row r="27" spans="1:18" x14ac:dyDescent="0.25">
      <c r="A27" s="27"/>
      <c r="B27" s="27"/>
      <c r="C27" s="27"/>
      <c r="D27" s="27"/>
      <c r="E27" s="27"/>
      <c r="F27" s="27"/>
      <c r="G27" s="27"/>
      <c r="H27" s="27"/>
      <c r="I27" s="27"/>
      <c r="J27" s="27"/>
      <c r="K27" s="27"/>
      <c r="L27" s="27"/>
      <c r="M27" s="27"/>
      <c r="N27" s="27"/>
      <c r="O27" s="27"/>
      <c r="P27" s="27"/>
      <c r="Q27" s="27"/>
      <c r="R27" s="27"/>
    </row>
    <row r="28" spans="1:18" x14ac:dyDescent="0.25">
      <c r="A28" s="27"/>
      <c r="B28" s="27"/>
      <c r="C28" s="27"/>
      <c r="D28" s="27"/>
      <c r="E28" s="27"/>
      <c r="F28" s="27"/>
      <c r="G28" s="27"/>
      <c r="H28" s="27"/>
      <c r="I28" s="27"/>
      <c r="J28" s="27"/>
      <c r="K28" s="27"/>
      <c r="L28" s="27"/>
      <c r="M28" s="27"/>
      <c r="N28" s="27"/>
      <c r="O28" s="27"/>
      <c r="P28" s="27"/>
      <c r="Q28" s="27"/>
      <c r="R28" s="27"/>
    </row>
    <row r="29" spans="1:18" x14ac:dyDescent="0.25">
      <c r="A29" s="27"/>
      <c r="B29" s="27"/>
      <c r="C29" s="27"/>
      <c r="D29" s="27"/>
      <c r="E29" s="27"/>
      <c r="F29" s="27"/>
      <c r="G29" s="27"/>
      <c r="H29" s="27"/>
      <c r="I29" s="27"/>
      <c r="J29" s="27"/>
      <c r="K29" s="27"/>
      <c r="L29" s="27"/>
      <c r="M29" s="27"/>
      <c r="N29" s="27"/>
      <c r="O29" s="27"/>
      <c r="P29" s="27"/>
      <c r="Q29" s="27"/>
      <c r="R29" s="27"/>
    </row>
    <row r="30" spans="1:18" x14ac:dyDescent="0.25">
      <c r="A30" s="27"/>
      <c r="B30" s="27"/>
      <c r="C30" s="27"/>
      <c r="D30" s="27"/>
      <c r="E30" s="27"/>
      <c r="F30" s="27"/>
      <c r="G30" s="27"/>
      <c r="H30" s="27"/>
      <c r="I30" s="27"/>
      <c r="J30" s="27"/>
      <c r="K30" s="27"/>
      <c r="L30" s="27"/>
      <c r="M30" s="27"/>
      <c r="N30" s="27"/>
      <c r="O30" s="27"/>
      <c r="P30" s="27"/>
      <c r="Q30" s="27"/>
      <c r="R30" s="27"/>
    </row>
    <row r="31" spans="1:18" x14ac:dyDescent="0.25">
      <c r="A31" s="27"/>
      <c r="B31" s="27"/>
      <c r="C31" s="27"/>
      <c r="D31" s="27"/>
      <c r="E31" s="27"/>
      <c r="F31" s="27"/>
      <c r="G31" s="27"/>
      <c r="H31" s="27"/>
      <c r="I31" s="27"/>
      <c r="J31" s="27"/>
      <c r="K31" s="27"/>
      <c r="L31" s="27"/>
      <c r="M31" s="27"/>
      <c r="N31" s="27"/>
      <c r="O31" s="27"/>
      <c r="P31" s="27"/>
      <c r="Q31" s="27"/>
      <c r="R31" s="27"/>
    </row>
    <row r="32" spans="1:18" x14ac:dyDescent="0.25">
      <c r="A32" s="27"/>
      <c r="B32" s="27"/>
      <c r="C32" s="27"/>
      <c r="D32" s="27"/>
      <c r="E32" s="27"/>
      <c r="F32" s="27"/>
      <c r="G32" s="27"/>
      <c r="H32" s="27"/>
      <c r="I32" s="27"/>
      <c r="J32" s="27"/>
      <c r="K32" s="27"/>
      <c r="L32" s="27"/>
      <c r="M32" s="27"/>
      <c r="N32" s="27"/>
      <c r="O32" s="27"/>
      <c r="P32" s="27"/>
      <c r="Q32" s="27"/>
      <c r="R32" s="27"/>
    </row>
    <row r="33" spans="1:18" x14ac:dyDescent="0.25">
      <c r="A33" s="27"/>
      <c r="B33" s="27"/>
      <c r="C33" s="27"/>
      <c r="D33" s="27"/>
      <c r="E33" s="27"/>
      <c r="F33" s="27"/>
      <c r="G33" s="27"/>
      <c r="H33" s="27"/>
      <c r="I33" s="27"/>
      <c r="J33" s="27"/>
      <c r="K33" s="27"/>
      <c r="L33" s="27"/>
      <c r="M33" s="27"/>
      <c r="N33" s="27"/>
      <c r="O33" s="27"/>
      <c r="P33" s="27"/>
      <c r="Q33" s="27"/>
      <c r="R33" s="27"/>
    </row>
    <row r="34" spans="1:18" x14ac:dyDescent="0.25">
      <c r="A34" s="27"/>
      <c r="B34" s="27"/>
      <c r="C34" s="27"/>
      <c r="D34" s="27"/>
      <c r="E34" s="27"/>
      <c r="F34" s="27"/>
      <c r="G34" s="27"/>
      <c r="H34" s="27"/>
      <c r="I34" s="27"/>
      <c r="J34" s="27"/>
      <c r="K34" s="27"/>
      <c r="L34" s="27"/>
      <c r="M34" s="27"/>
      <c r="N34" s="27"/>
      <c r="O34" s="27"/>
      <c r="P34" s="27"/>
      <c r="Q34" s="27"/>
      <c r="R34" s="27"/>
    </row>
    <row r="35" spans="1:18" x14ac:dyDescent="0.25">
      <c r="A35" s="27"/>
      <c r="B35" s="27"/>
      <c r="C35" s="27"/>
      <c r="D35" s="27"/>
      <c r="E35" s="27"/>
      <c r="F35" s="27"/>
      <c r="G35" s="27"/>
      <c r="H35" s="27"/>
      <c r="I35" s="27"/>
      <c r="J35" s="27"/>
      <c r="K35" s="27"/>
      <c r="L35" s="27"/>
      <c r="M35" s="27"/>
      <c r="N35" s="27"/>
      <c r="O35" s="27"/>
      <c r="P35" s="27"/>
      <c r="Q35" s="27"/>
      <c r="R35" s="27"/>
    </row>
    <row r="36" spans="1:18" x14ac:dyDescent="0.25">
      <c r="A36" s="27"/>
      <c r="B36" s="27"/>
      <c r="C36" s="27"/>
      <c r="D36" s="27"/>
      <c r="E36" s="27"/>
      <c r="F36" s="27"/>
      <c r="G36" s="27"/>
      <c r="H36" s="27"/>
      <c r="I36" s="27"/>
      <c r="J36" s="27"/>
      <c r="K36" s="27"/>
      <c r="L36" s="27"/>
      <c r="M36" s="27"/>
      <c r="N36" s="27"/>
      <c r="O36" s="27"/>
      <c r="P36" s="27"/>
      <c r="Q36" s="27"/>
      <c r="R36" s="27"/>
    </row>
    <row r="37" spans="1:18" x14ac:dyDescent="0.25">
      <c r="A37" s="27"/>
      <c r="B37" s="27"/>
      <c r="C37" s="27"/>
      <c r="D37" s="27"/>
      <c r="E37" s="27"/>
      <c r="F37" s="27"/>
      <c r="G37" s="27"/>
      <c r="H37" s="27"/>
      <c r="I37" s="27"/>
      <c r="J37" s="27"/>
      <c r="K37" s="27"/>
      <c r="L37" s="27"/>
      <c r="M37" s="27"/>
      <c r="N37" s="27"/>
      <c r="O37" s="27"/>
      <c r="P37" s="27"/>
      <c r="Q37" s="27"/>
      <c r="R37" s="27"/>
    </row>
    <row r="38" spans="1:18" x14ac:dyDescent="0.25">
      <c r="A38" s="27"/>
      <c r="B38" s="27"/>
      <c r="C38" s="27"/>
      <c r="D38" s="27"/>
      <c r="E38" s="27"/>
      <c r="F38" s="27"/>
      <c r="G38" s="27"/>
      <c r="H38" s="27"/>
      <c r="I38" s="27"/>
      <c r="J38" s="27"/>
      <c r="K38" s="27"/>
      <c r="L38" s="27"/>
      <c r="M38" s="27"/>
      <c r="N38" s="27"/>
      <c r="O38" s="27"/>
      <c r="P38" s="27"/>
      <c r="Q38" s="27"/>
      <c r="R38" s="27"/>
    </row>
    <row r="39" spans="1:18" x14ac:dyDescent="0.25">
      <c r="A39" s="27"/>
      <c r="B39" s="27"/>
      <c r="C39" s="27"/>
      <c r="D39" s="27"/>
      <c r="E39" s="27"/>
      <c r="F39" s="27"/>
      <c r="G39" s="27"/>
      <c r="H39" s="27"/>
      <c r="I39" s="27"/>
      <c r="J39" s="27"/>
      <c r="K39" s="27"/>
      <c r="L39" s="27"/>
      <c r="M39" s="27"/>
      <c r="N39" s="27"/>
      <c r="O39" s="27"/>
      <c r="P39" s="27"/>
      <c r="Q39" s="27"/>
      <c r="R39" s="27"/>
    </row>
    <row r="40" spans="1:18" x14ac:dyDescent="0.25">
      <c r="A40" s="27"/>
      <c r="B40" s="27"/>
      <c r="C40" s="27"/>
      <c r="D40" s="27"/>
      <c r="E40" s="27"/>
      <c r="F40" s="27"/>
      <c r="G40" s="27"/>
      <c r="H40" s="27"/>
      <c r="I40" s="27"/>
      <c r="J40" s="27"/>
      <c r="K40" s="27"/>
      <c r="L40" s="27"/>
      <c r="M40" s="27"/>
      <c r="N40" s="27"/>
      <c r="O40" s="27"/>
      <c r="P40" s="27"/>
      <c r="Q40" s="27"/>
      <c r="R40" s="27"/>
    </row>
    <row r="41" spans="1:18" x14ac:dyDescent="0.25">
      <c r="A41" s="27"/>
      <c r="B41" s="27"/>
      <c r="C41" s="27"/>
      <c r="D41" s="27"/>
      <c r="E41" s="27"/>
      <c r="F41" s="27"/>
      <c r="G41" s="27"/>
      <c r="H41" s="27"/>
      <c r="I41" s="27"/>
      <c r="J41" s="27"/>
      <c r="K41" s="27"/>
      <c r="L41" s="27"/>
      <c r="M41" s="27"/>
      <c r="N41" s="27"/>
      <c r="O41" s="27"/>
      <c r="P41" s="27"/>
      <c r="Q41" s="27"/>
      <c r="R41" s="27"/>
    </row>
    <row r="42" spans="1:18" x14ac:dyDescent="0.25">
      <c r="A42" s="27"/>
      <c r="B42" s="27"/>
      <c r="C42" s="27"/>
      <c r="D42" s="27"/>
      <c r="E42" s="27"/>
      <c r="F42" s="27"/>
      <c r="G42" s="27"/>
      <c r="H42" s="27"/>
      <c r="I42" s="27"/>
      <c r="J42" s="27"/>
      <c r="K42" s="27"/>
      <c r="L42" s="27"/>
      <c r="M42" s="27"/>
      <c r="N42" s="27"/>
      <c r="O42" s="27"/>
      <c r="P42" s="27"/>
      <c r="Q42" s="27"/>
      <c r="R42" s="27"/>
    </row>
    <row r="43" spans="1:18" x14ac:dyDescent="0.25">
      <c r="A43" s="27"/>
      <c r="B43" s="27"/>
      <c r="C43" s="27"/>
      <c r="D43" s="27"/>
      <c r="E43" s="27"/>
      <c r="F43" s="27"/>
      <c r="G43" s="27"/>
      <c r="H43" s="27"/>
      <c r="I43" s="27"/>
      <c r="J43" s="27"/>
      <c r="K43" s="27"/>
      <c r="L43" s="27"/>
      <c r="M43" s="27"/>
      <c r="N43" s="27"/>
      <c r="O43" s="27"/>
      <c r="P43" s="27"/>
      <c r="Q43" s="27"/>
      <c r="R43" s="27"/>
    </row>
    <row r="44" spans="1:18" x14ac:dyDescent="0.25">
      <c r="A44" s="27"/>
      <c r="B44" s="27"/>
      <c r="C44" s="27"/>
      <c r="D44" s="27"/>
      <c r="E44" s="27"/>
      <c r="F44" s="27"/>
      <c r="G44" s="27"/>
      <c r="H44" s="27"/>
      <c r="I44" s="27"/>
      <c r="J44" s="27"/>
      <c r="K44" s="27"/>
      <c r="L44" s="27"/>
      <c r="M44" s="27"/>
      <c r="N44" s="27"/>
      <c r="O44" s="27"/>
      <c r="P44" s="27"/>
      <c r="Q44" s="27"/>
      <c r="R44" s="27"/>
    </row>
    <row r="45" spans="1:18" x14ac:dyDescent="0.25">
      <c r="A45" s="27"/>
      <c r="B45" s="27"/>
      <c r="C45" s="27"/>
      <c r="D45" s="27"/>
      <c r="E45" s="27"/>
      <c r="F45" s="27"/>
      <c r="G45" s="27"/>
      <c r="H45" s="27"/>
      <c r="I45" s="27"/>
      <c r="J45" s="27"/>
      <c r="K45" s="27"/>
      <c r="L45" s="27"/>
      <c r="M45" s="27"/>
      <c r="N45" s="27"/>
      <c r="O45" s="27"/>
      <c r="P45" s="27"/>
      <c r="Q45" s="27"/>
      <c r="R45" s="27"/>
    </row>
    <row r="46" spans="1:18" x14ac:dyDescent="0.25">
      <c r="A46" s="27"/>
      <c r="B46" s="27"/>
      <c r="C46" s="27"/>
      <c r="D46" s="27"/>
      <c r="E46" s="27"/>
      <c r="F46" s="27"/>
      <c r="G46" s="27"/>
      <c r="H46" s="27"/>
      <c r="I46" s="27"/>
      <c r="J46" s="27"/>
      <c r="K46" s="27"/>
      <c r="L46" s="27"/>
      <c r="M46" s="27"/>
      <c r="N46" s="27"/>
      <c r="O46" s="27"/>
      <c r="P46" s="27"/>
      <c r="Q46" s="27"/>
      <c r="R46" s="27"/>
    </row>
    <row r="47" spans="1:18" x14ac:dyDescent="0.25">
      <c r="A47" s="27"/>
      <c r="B47" s="27"/>
      <c r="C47" s="27"/>
      <c r="D47" s="27"/>
      <c r="E47" s="27"/>
      <c r="F47" s="27"/>
      <c r="G47" s="27"/>
      <c r="H47" s="27"/>
      <c r="I47" s="27"/>
      <c r="J47" s="27"/>
      <c r="K47" s="27"/>
      <c r="L47" s="27"/>
      <c r="M47" s="27"/>
      <c r="N47" s="27"/>
      <c r="O47" s="27"/>
      <c r="P47" s="27"/>
      <c r="Q47" s="27"/>
      <c r="R47" s="27"/>
    </row>
    <row r="48" spans="1:18" x14ac:dyDescent="0.25">
      <c r="A48" s="27"/>
      <c r="B48" s="27"/>
      <c r="C48" s="27"/>
      <c r="D48" s="27"/>
      <c r="E48" s="27"/>
      <c r="F48" s="27"/>
      <c r="G48" s="27"/>
      <c r="H48" s="27"/>
      <c r="I48" s="27"/>
      <c r="J48" s="27"/>
      <c r="K48" s="27"/>
      <c r="L48" s="27"/>
      <c r="M48" s="27"/>
      <c r="N48" s="27"/>
      <c r="O48" s="27"/>
      <c r="P48" s="27"/>
      <c r="Q48" s="27"/>
      <c r="R48" s="27"/>
    </row>
    <row r="49" spans="1:18" x14ac:dyDescent="0.25">
      <c r="A49" s="27"/>
      <c r="B49" s="27"/>
      <c r="C49" s="27"/>
      <c r="D49" s="27"/>
      <c r="E49" s="27"/>
      <c r="F49" s="27"/>
      <c r="G49" s="27"/>
      <c r="H49" s="27"/>
      <c r="I49" s="27"/>
      <c r="J49" s="27"/>
      <c r="K49" s="27"/>
      <c r="L49" s="27"/>
      <c r="M49" s="27"/>
      <c r="N49" s="27"/>
      <c r="O49" s="27"/>
      <c r="P49" s="27"/>
      <c r="Q49" s="27"/>
      <c r="R49" s="27"/>
    </row>
    <row r="50" spans="1:18" x14ac:dyDescent="0.25">
      <c r="A50" s="27"/>
      <c r="B50" s="27"/>
      <c r="C50" s="27"/>
      <c r="D50" s="27"/>
      <c r="E50" s="27"/>
      <c r="F50" s="27"/>
      <c r="G50" s="27"/>
      <c r="H50" s="27"/>
      <c r="I50" s="27"/>
      <c r="J50" s="27"/>
      <c r="K50" s="27"/>
      <c r="L50" s="27"/>
      <c r="M50" s="27"/>
      <c r="N50" s="27"/>
      <c r="O50" s="27"/>
      <c r="P50" s="27"/>
      <c r="Q50" s="27"/>
      <c r="R50" s="27"/>
    </row>
    <row r="51" spans="1:18" x14ac:dyDescent="0.25">
      <c r="A51" s="27"/>
      <c r="B51" s="27"/>
      <c r="C51" s="27"/>
      <c r="D51" s="27"/>
      <c r="E51" s="27"/>
      <c r="F51" s="27"/>
      <c r="G51" s="27"/>
      <c r="H51" s="27"/>
      <c r="I51" s="27"/>
      <c r="J51" s="27"/>
      <c r="K51" s="27"/>
      <c r="L51" s="27"/>
      <c r="M51" s="27"/>
      <c r="N51" s="27"/>
      <c r="O51" s="27"/>
      <c r="P51" s="27"/>
      <c r="Q51" s="27"/>
      <c r="R51" s="27"/>
    </row>
    <row r="52" spans="1:18" x14ac:dyDescent="0.25">
      <c r="A52" s="27"/>
      <c r="B52" s="27"/>
      <c r="C52" s="27"/>
      <c r="D52" s="27"/>
      <c r="E52" s="27"/>
      <c r="F52" s="27"/>
      <c r="G52" s="27"/>
      <c r="H52" s="27"/>
      <c r="I52" s="27"/>
      <c r="J52" s="27"/>
      <c r="K52" s="27"/>
      <c r="L52" s="27"/>
      <c r="M52" s="27"/>
      <c r="N52" s="27"/>
      <c r="O52" s="27"/>
      <c r="P52" s="27"/>
      <c r="Q52" s="27"/>
      <c r="R52" s="27"/>
    </row>
    <row r="53" spans="1:18" x14ac:dyDescent="0.25">
      <c r="A53" s="27"/>
      <c r="B53" s="27"/>
      <c r="C53" s="27"/>
      <c r="D53" s="27"/>
      <c r="E53" s="27"/>
      <c r="F53" s="27"/>
      <c r="G53" s="27"/>
      <c r="H53" s="27"/>
      <c r="I53" s="27"/>
      <c r="J53" s="27"/>
      <c r="K53" s="27"/>
      <c r="L53" s="27"/>
      <c r="M53" s="27"/>
      <c r="N53" s="27"/>
      <c r="O53" s="27"/>
      <c r="P53" s="27"/>
      <c r="Q53" s="27"/>
      <c r="R53" s="27"/>
    </row>
    <row r="54" spans="1:18" x14ac:dyDescent="0.25">
      <c r="A54" s="27"/>
      <c r="B54" s="27"/>
      <c r="C54" s="27"/>
      <c r="D54" s="27"/>
      <c r="E54" s="27"/>
      <c r="F54" s="27"/>
      <c r="G54" s="27"/>
      <c r="H54" s="27"/>
      <c r="I54" s="27"/>
      <c r="J54" s="27"/>
      <c r="K54" s="27"/>
      <c r="L54" s="27"/>
      <c r="M54" s="27"/>
      <c r="N54" s="27"/>
      <c r="O54" s="27"/>
      <c r="P54" s="27"/>
      <c r="Q54" s="27"/>
      <c r="R54" s="27"/>
    </row>
    <row r="55" spans="1:18" x14ac:dyDescent="0.25">
      <c r="A55" s="27"/>
      <c r="B55" s="27"/>
      <c r="C55" s="27"/>
      <c r="D55" s="27"/>
      <c r="E55" s="27"/>
      <c r="F55" s="27"/>
      <c r="G55" s="27"/>
      <c r="H55" s="27"/>
      <c r="I55" s="27"/>
      <c r="J55" s="27"/>
      <c r="K55" s="27"/>
      <c r="L55" s="27"/>
      <c r="M55" s="27"/>
      <c r="N55" s="27"/>
      <c r="O55" s="27"/>
      <c r="P55" s="27"/>
      <c r="Q55" s="27"/>
      <c r="R55" s="27"/>
    </row>
    <row r="56" spans="1:18" x14ac:dyDescent="0.25">
      <c r="A56" s="27"/>
      <c r="B56" s="27"/>
      <c r="C56" s="27"/>
      <c r="D56" s="27"/>
      <c r="E56" s="27"/>
      <c r="F56" s="27"/>
      <c r="G56" s="27"/>
      <c r="H56" s="27"/>
      <c r="I56" s="27"/>
      <c r="J56" s="27"/>
      <c r="K56" s="27"/>
      <c r="L56" s="27"/>
      <c r="M56" s="27"/>
      <c r="N56" s="27"/>
      <c r="O56" s="27"/>
      <c r="P56" s="27"/>
      <c r="Q56" s="27"/>
      <c r="R56" s="27"/>
    </row>
    <row r="57" spans="1:18" x14ac:dyDescent="0.25">
      <c r="A57" s="27"/>
      <c r="B57" s="27"/>
      <c r="C57" s="27"/>
      <c r="D57" s="27"/>
      <c r="E57" s="27"/>
      <c r="F57" s="27"/>
      <c r="G57" s="27"/>
      <c r="H57" s="27"/>
      <c r="I57" s="27"/>
      <c r="J57" s="27"/>
      <c r="K57" s="27"/>
      <c r="L57" s="27"/>
      <c r="M57" s="27"/>
      <c r="N57" s="27"/>
      <c r="O57" s="27"/>
      <c r="P57" s="27"/>
      <c r="Q57" s="27"/>
      <c r="R57" s="27"/>
    </row>
    <row r="58" spans="1:18" x14ac:dyDescent="0.25">
      <c r="A58" s="27"/>
      <c r="B58" s="27"/>
      <c r="C58" s="27"/>
      <c r="D58" s="27"/>
      <c r="E58" s="27"/>
      <c r="F58" s="27"/>
      <c r="G58" s="27"/>
      <c r="H58" s="27"/>
      <c r="I58" s="27"/>
      <c r="J58" s="27"/>
      <c r="K58" s="27"/>
      <c r="L58" s="27"/>
      <c r="M58" s="27"/>
      <c r="N58" s="27"/>
      <c r="O58" s="27"/>
      <c r="P58" s="27"/>
      <c r="Q58" s="27"/>
      <c r="R58" s="27"/>
    </row>
    <row r="59" spans="1:18" x14ac:dyDescent="0.25">
      <c r="A59" s="27"/>
      <c r="B59" s="27"/>
      <c r="C59" s="27"/>
      <c r="D59" s="27"/>
      <c r="E59" s="27"/>
      <c r="F59" s="27"/>
      <c r="G59" s="27"/>
      <c r="H59" s="27"/>
      <c r="I59" s="27"/>
      <c r="J59" s="27"/>
      <c r="K59" s="27"/>
      <c r="L59" s="27"/>
      <c r="M59" s="27"/>
      <c r="N59" s="27"/>
      <c r="O59" s="27"/>
      <c r="P59" s="27"/>
      <c r="Q59" s="27"/>
      <c r="R59" s="27"/>
    </row>
    <row r="60" spans="1:18" x14ac:dyDescent="0.25">
      <c r="A60" s="27"/>
      <c r="B60" s="27"/>
      <c r="C60" s="27"/>
      <c r="D60" s="27"/>
      <c r="E60" s="27"/>
      <c r="F60" s="27"/>
      <c r="G60" s="27"/>
      <c r="H60" s="27"/>
      <c r="I60" s="27"/>
      <c r="J60" s="27"/>
      <c r="K60" s="27"/>
      <c r="L60" s="27"/>
      <c r="M60" s="27"/>
      <c r="N60" s="27"/>
      <c r="O60" s="27"/>
      <c r="P60" s="27"/>
      <c r="Q60" s="27"/>
      <c r="R60" s="27"/>
    </row>
    <row r="61" spans="1:18" x14ac:dyDescent="0.25">
      <c r="A61" s="27"/>
      <c r="B61" s="27"/>
      <c r="C61" s="27"/>
      <c r="D61" s="27"/>
      <c r="E61" s="27"/>
      <c r="F61" s="27"/>
      <c r="G61" s="27"/>
      <c r="H61" s="27"/>
      <c r="I61" s="27"/>
      <c r="J61" s="27"/>
      <c r="K61" s="27"/>
      <c r="L61" s="27"/>
      <c r="M61" s="27"/>
      <c r="N61" s="27"/>
      <c r="O61" s="27"/>
      <c r="P61" s="27"/>
      <c r="Q61" s="27"/>
      <c r="R61" s="27"/>
    </row>
    <row r="62" spans="1:18" x14ac:dyDescent="0.25">
      <c r="A62" s="27"/>
      <c r="B62" s="27"/>
      <c r="C62" s="27"/>
      <c r="D62" s="27"/>
      <c r="E62" s="27"/>
      <c r="F62" s="27"/>
      <c r="G62" s="27"/>
      <c r="H62" s="27"/>
      <c r="I62" s="27"/>
      <c r="J62" s="27"/>
      <c r="K62" s="27"/>
      <c r="L62" s="27"/>
      <c r="M62" s="27"/>
      <c r="N62" s="27"/>
      <c r="O62" s="27"/>
      <c r="P62" s="27"/>
      <c r="Q62" s="27"/>
      <c r="R62" s="27"/>
    </row>
    <row r="63" spans="1:18" x14ac:dyDescent="0.25">
      <c r="A63" s="27"/>
      <c r="B63" s="27"/>
      <c r="C63" s="27"/>
      <c r="D63" s="27"/>
      <c r="E63" s="27"/>
      <c r="F63" s="27"/>
      <c r="G63" s="27"/>
      <c r="H63" s="27"/>
      <c r="I63" s="27"/>
      <c r="J63" s="27"/>
      <c r="K63" s="27"/>
      <c r="L63" s="27"/>
      <c r="M63" s="27"/>
      <c r="N63" s="27"/>
      <c r="O63" s="27"/>
      <c r="P63" s="27"/>
      <c r="Q63" s="27"/>
      <c r="R63" s="27"/>
    </row>
    <row r="64" spans="1:18" x14ac:dyDescent="0.25">
      <c r="A64" s="27"/>
      <c r="B64" s="27"/>
      <c r="C64" s="27"/>
      <c r="D64" s="27"/>
      <c r="E64" s="27"/>
      <c r="F64" s="27"/>
      <c r="G64" s="27"/>
      <c r="H64" s="27"/>
      <c r="I64" s="27"/>
      <c r="J64" s="27"/>
      <c r="K64" s="27"/>
      <c r="L64" s="27"/>
      <c r="M64" s="27"/>
      <c r="N64" s="27"/>
      <c r="O64" s="27"/>
      <c r="P64" s="27"/>
      <c r="Q64" s="27"/>
      <c r="R64" s="27"/>
    </row>
    <row r="65" spans="1:18" x14ac:dyDescent="0.25">
      <c r="A65" s="27"/>
      <c r="B65" s="27"/>
      <c r="C65" s="27"/>
      <c r="D65" s="27"/>
      <c r="E65" s="27"/>
      <c r="F65" s="27"/>
      <c r="G65" s="27"/>
      <c r="H65" s="27"/>
      <c r="I65" s="27"/>
      <c r="J65" s="27"/>
      <c r="K65" s="27"/>
      <c r="L65" s="27"/>
      <c r="M65" s="27"/>
      <c r="N65" s="27"/>
      <c r="O65" s="27"/>
      <c r="P65" s="27"/>
      <c r="Q65" s="27"/>
      <c r="R65" s="27"/>
    </row>
    <row r="66" spans="1:18" x14ac:dyDescent="0.25">
      <c r="A66" s="27"/>
      <c r="B66" s="27"/>
      <c r="C66" s="27"/>
      <c r="D66" s="27"/>
      <c r="E66" s="27"/>
      <c r="F66" s="27"/>
      <c r="G66" s="27"/>
      <c r="H66" s="27"/>
      <c r="I66" s="27"/>
      <c r="J66" s="27"/>
      <c r="K66" s="27"/>
      <c r="L66" s="27"/>
      <c r="M66" s="27"/>
      <c r="N66" s="27"/>
      <c r="O66" s="27"/>
      <c r="P66" s="27"/>
      <c r="Q66" s="27"/>
      <c r="R66" s="27"/>
    </row>
    <row r="67" spans="1:18" x14ac:dyDescent="0.25">
      <c r="A67" s="27"/>
      <c r="B67" s="27"/>
      <c r="C67" s="27"/>
      <c r="D67" s="27"/>
      <c r="E67" s="27"/>
      <c r="F67" s="27"/>
      <c r="G67" s="27"/>
      <c r="H67" s="27"/>
      <c r="I67" s="27"/>
      <c r="J67" s="27"/>
      <c r="K67" s="27"/>
      <c r="L67" s="27"/>
      <c r="M67" s="27"/>
      <c r="N67" s="27"/>
      <c r="O67" s="27"/>
      <c r="P67" s="27"/>
      <c r="Q67" s="27"/>
      <c r="R67" s="27"/>
    </row>
    <row r="68" spans="1:18" x14ac:dyDescent="0.25">
      <c r="A68" s="27"/>
      <c r="B68" s="27"/>
      <c r="C68" s="27"/>
      <c r="D68" s="27"/>
      <c r="E68" s="27"/>
      <c r="F68" s="27"/>
      <c r="G68" s="27"/>
      <c r="H68" s="27"/>
      <c r="I68" s="27"/>
      <c r="J68" s="27"/>
      <c r="K68" s="27"/>
      <c r="L68" s="27"/>
      <c r="M68" s="27"/>
      <c r="N68" s="27"/>
      <c r="O68" s="27"/>
      <c r="P68" s="27"/>
      <c r="Q68" s="27"/>
      <c r="R68" s="27"/>
    </row>
    <row r="69" spans="1:18" x14ac:dyDescent="0.25">
      <c r="A69" s="27"/>
      <c r="B69" s="27"/>
      <c r="C69" s="27"/>
      <c r="D69" s="27"/>
      <c r="E69" s="27"/>
      <c r="F69" s="27"/>
      <c r="G69" s="27"/>
      <c r="H69" s="27"/>
      <c r="I69" s="27"/>
      <c r="J69" s="27"/>
      <c r="K69" s="27"/>
      <c r="L69" s="27"/>
      <c r="M69" s="27"/>
      <c r="N69" s="27"/>
      <c r="O69" s="27"/>
      <c r="P69" s="27"/>
      <c r="Q69" s="27"/>
      <c r="R69" s="27"/>
    </row>
    <row r="70" spans="1:18" x14ac:dyDescent="0.25">
      <c r="A70" s="27"/>
      <c r="B70" s="27"/>
      <c r="C70" s="27"/>
      <c r="D70" s="27"/>
      <c r="E70" s="27"/>
      <c r="F70" s="27"/>
      <c r="G70" s="27"/>
      <c r="H70" s="27"/>
      <c r="I70" s="27"/>
      <c r="J70" s="27"/>
      <c r="K70" s="27"/>
      <c r="L70" s="27"/>
      <c r="M70" s="27"/>
      <c r="N70" s="27"/>
      <c r="O70" s="27"/>
      <c r="P70" s="27"/>
      <c r="Q70" s="27"/>
      <c r="R70" s="27"/>
    </row>
    <row r="71" spans="1:18" x14ac:dyDescent="0.25">
      <c r="A71" s="27"/>
      <c r="B71" s="27"/>
      <c r="C71" s="27"/>
      <c r="D71" s="27"/>
      <c r="E71" s="27"/>
      <c r="F71" s="27"/>
      <c r="G71" s="27"/>
      <c r="H71" s="27"/>
      <c r="I71" s="27"/>
      <c r="J71" s="27"/>
      <c r="K71" s="27"/>
      <c r="L71" s="27"/>
      <c r="M71" s="27"/>
      <c r="N71" s="27"/>
      <c r="O71" s="27"/>
      <c r="P71" s="27"/>
      <c r="Q71" s="27"/>
      <c r="R71" s="27"/>
    </row>
    <row r="72" spans="1:18" x14ac:dyDescent="0.25">
      <c r="A72" s="27"/>
      <c r="B72" s="27"/>
      <c r="C72" s="27"/>
      <c r="D72" s="27"/>
      <c r="E72" s="27"/>
      <c r="F72" s="27"/>
      <c r="G72" s="27"/>
      <c r="H72" s="27"/>
      <c r="I72" s="27"/>
      <c r="J72" s="27"/>
      <c r="K72" s="27"/>
      <c r="L72" s="27"/>
      <c r="M72" s="27"/>
      <c r="N72" s="27"/>
      <c r="O72" s="27"/>
      <c r="P72" s="27"/>
      <c r="Q72" s="27"/>
      <c r="R72" s="27"/>
    </row>
    <row r="73" spans="1:18" x14ac:dyDescent="0.25">
      <c r="A73" s="27"/>
      <c r="B73" s="27"/>
      <c r="C73" s="27"/>
      <c r="D73" s="27"/>
      <c r="E73" s="27"/>
      <c r="F73" s="27"/>
      <c r="G73" s="27"/>
      <c r="H73" s="27"/>
      <c r="I73" s="27"/>
      <c r="J73" s="27"/>
      <c r="K73" s="27"/>
      <c r="L73" s="27"/>
      <c r="M73" s="27"/>
      <c r="N73" s="27"/>
      <c r="O73" s="27"/>
      <c r="P73" s="27"/>
      <c r="Q73" s="27"/>
      <c r="R73" s="27"/>
    </row>
    <row r="74" spans="1:18" x14ac:dyDescent="0.25">
      <c r="A74" s="27"/>
      <c r="B74" s="27"/>
      <c r="C74" s="27"/>
      <c r="D74" s="27"/>
      <c r="E74" s="27"/>
      <c r="F74" s="27"/>
      <c r="G74" s="27"/>
      <c r="H74" s="27"/>
      <c r="I74" s="27"/>
      <c r="J74" s="27"/>
      <c r="K74" s="27"/>
      <c r="L74" s="27"/>
      <c r="M74" s="27"/>
      <c r="N74" s="27"/>
      <c r="O74" s="27"/>
      <c r="P74" s="27"/>
      <c r="Q74" s="27"/>
      <c r="R74" s="27"/>
    </row>
    <row r="75" spans="1:18" x14ac:dyDescent="0.25">
      <c r="A75" s="27"/>
      <c r="B75" s="27"/>
      <c r="C75" s="27"/>
      <c r="D75" s="27"/>
      <c r="E75" s="27"/>
      <c r="F75" s="27"/>
      <c r="G75" s="27"/>
      <c r="H75" s="27"/>
      <c r="I75" s="27"/>
      <c r="J75" s="27"/>
      <c r="K75" s="27"/>
      <c r="L75" s="27"/>
      <c r="M75" s="27"/>
      <c r="N75" s="27"/>
      <c r="O75" s="27"/>
      <c r="P75" s="27"/>
      <c r="Q75" s="27"/>
      <c r="R75" s="27"/>
    </row>
    <row r="76" spans="1:18" x14ac:dyDescent="0.25">
      <c r="A76" s="27"/>
      <c r="B76" s="27"/>
      <c r="C76" s="27"/>
      <c r="D76" s="27"/>
      <c r="E76" s="27"/>
      <c r="F76" s="27"/>
      <c r="G76" s="27"/>
      <c r="H76" s="27"/>
      <c r="I76" s="27"/>
      <c r="J76" s="27"/>
      <c r="K76" s="27"/>
      <c r="L76" s="27"/>
      <c r="M76" s="27"/>
      <c r="N76" s="27"/>
      <c r="O76" s="27"/>
      <c r="P76" s="27"/>
      <c r="Q76" s="27"/>
      <c r="R76" s="27"/>
    </row>
    <row r="77" spans="1:18" x14ac:dyDescent="0.25">
      <c r="A77" s="27"/>
      <c r="B77" s="27"/>
      <c r="C77" s="27"/>
      <c r="D77" s="27"/>
      <c r="E77" s="27"/>
      <c r="F77" s="27"/>
      <c r="G77" s="27"/>
      <c r="H77" s="27"/>
      <c r="I77" s="27"/>
      <c r="J77" s="27"/>
      <c r="K77" s="27"/>
      <c r="L77" s="27"/>
      <c r="M77" s="27"/>
      <c r="N77" s="27"/>
      <c r="O77" s="27"/>
      <c r="P77" s="27"/>
      <c r="Q77" s="27"/>
      <c r="R77" s="27"/>
    </row>
    <row r="78" spans="1:18" x14ac:dyDescent="0.25">
      <c r="A78" s="27"/>
      <c r="B78" s="27"/>
      <c r="C78" s="27"/>
      <c r="D78" s="27"/>
      <c r="E78" s="27"/>
      <c r="F78" s="27"/>
      <c r="G78" s="27"/>
      <c r="H78" s="27"/>
      <c r="I78" s="27"/>
      <c r="J78" s="27"/>
      <c r="K78" s="27"/>
      <c r="L78" s="27"/>
      <c r="M78" s="27"/>
      <c r="N78" s="27"/>
      <c r="O78" s="27"/>
      <c r="P78" s="27"/>
      <c r="Q78" s="27"/>
      <c r="R78" s="27"/>
    </row>
    <row r="79" spans="1:18" x14ac:dyDescent="0.25">
      <c r="A79" s="27"/>
      <c r="B79" s="27"/>
      <c r="C79" s="27"/>
      <c r="D79" s="27"/>
      <c r="E79" s="27"/>
      <c r="F79" s="27"/>
      <c r="G79" s="27"/>
      <c r="H79" s="27"/>
      <c r="I79" s="27"/>
      <c r="J79" s="27"/>
      <c r="K79" s="27"/>
      <c r="L79" s="27"/>
      <c r="M79" s="27"/>
      <c r="N79" s="27"/>
      <c r="O79" s="27"/>
      <c r="P79" s="27"/>
      <c r="Q79" s="27"/>
      <c r="R79" s="27"/>
    </row>
    <row r="80" spans="1:18" x14ac:dyDescent="0.25">
      <c r="A80" s="27"/>
      <c r="B80" s="27"/>
      <c r="C80" s="27"/>
      <c r="D80" s="27"/>
      <c r="E80" s="27"/>
      <c r="F80" s="27"/>
      <c r="G80" s="27"/>
      <c r="H80" s="27"/>
      <c r="I80" s="27"/>
      <c r="J80" s="27"/>
      <c r="K80" s="27"/>
      <c r="L80" s="27"/>
      <c r="M80" s="27"/>
      <c r="N80" s="27"/>
      <c r="O80" s="27"/>
      <c r="P80" s="27"/>
      <c r="Q80" s="27"/>
      <c r="R80" s="27"/>
    </row>
    <row r="81" spans="1:18" x14ac:dyDescent="0.25">
      <c r="A81" s="27"/>
      <c r="B81" s="27"/>
      <c r="C81" s="27"/>
      <c r="D81" s="27"/>
      <c r="E81" s="27"/>
      <c r="F81" s="27"/>
      <c r="G81" s="27"/>
      <c r="H81" s="27"/>
      <c r="I81" s="27"/>
      <c r="J81" s="27"/>
      <c r="K81" s="27"/>
      <c r="L81" s="27"/>
      <c r="M81" s="27"/>
      <c r="N81" s="27"/>
      <c r="O81" s="27"/>
      <c r="P81" s="27"/>
      <c r="Q81" s="27"/>
      <c r="R81" s="27"/>
    </row>
    <row r="82" spans="1:18" x14ac:dyDescent="0.25">
      <c r="A82" s="27"/>
      <c r="B82" s="27"/>
      <c r="C82" s="27"/>
      <c r="D82" s="27"/>
      <c r="E82" s="27"/>
      <c r="F82" s="27"/>
      <c r="G82" s="27"/>
      <c r="H82" s="27"/>
      <c r="I82" s="27"/>
      <c r="J82" s="27"/>
      <c r="K82" s="27"/>
      <c r="L82" s="27"/>
      <c r="M82" s="27"/>
      <c r="N82" s="27"/>
      <c r="O82" s="27"/>
      <c r="P82" s="27"/>
      <c r="Q82" s="27"/>
      <c r="R82" s="27"/>
    </row>
    <row r="83" spans="1:18" x14ac:dyDescent="0.25">
      <c r="A83" s="27"/>
      <c r="B83" s="27"/>
      <c r="C83" s="27"/>
      <c r="D83" s="27"/>
      <c r="E83" s="27"/>
      <c r="F83" s="27"/>
      <c r="G83" s="27"/>
      <c r="H83" s="27"/>
      <c r="I83" s="27"/>
      <c r="J83" s="27"/>
      <c r="K83" s="27"/>
      <c r="L83" s="27"/>
      <c r="M83" s="27"/>
      <c r="N83" s="27"/>
      <c r="O83" s="27"/>
      <c r="P83" s="27"/>
      <c r="Q83" s="27"/>
      <c r="R83" s="27"/>
    </row>
    <row r="84" spans="1:18" x14ac:dyDescent="0.25">
      <c r="A84" s="27"/>
      <c r="B84" s="27"/>
      <c r="C84" s="27"/>
      <c r="D84" s="27"/>
      <c r="E84" s="27"/>
      <c r="F84" s="27"/>
      <c r="G84" s="27"/>
      <c r="H84" s="27"/>
      <c r="I84" s="27"/>
      <c r="J84" s="27"/>
      <c r="K84" s="27"/>
      <c r="L84" s="27"/>
      <c r="M84" s="27"/>
      <c r="N84" s="27"/>
      <c r="O84" s="27"/>
      <c r="P84" s="27"/>
      <c r="Q84" s="27"/>
      <c r="R84" s="27"/>
    </row>
    <row r="85" spans="1:18" x14ac:dyDescent="0.25">
      <c r="A85" s="27"/>
      <c r="B85" s="27"/>
      <c r="C85" s="27"/>
      <c r="D85" s="27"/>
      <c r="E85" s="27"/>
      <c r="F85" s="27"/>
      <c r="G85" s="27"/>
      <c r="H85" s="27"/>
      <c r="I85" s="27"/>
      <c r="J85" s="27"/>
      <c r="K85" s="27"/>
      <c r="L85" s="27"/>
      <c r="M85" s="27"/>
      <c r="N85" s="27"/>
      <c r="O85" s="27"/>
      <c r="P85" s="27"/>
      <c r="Q85" s="27"/>
      <c r="R85" s="27"/>
    </row>
    <row r="86" spans="1:18" x14ac:dyDescent="0.25">
      <c r="A86" s="27"/>
      <c r="B86" s="27"/>
      <c r="C86" s="27"/>
      <c r="D86" s="27"/>
      <c r="E86" s="27"/>
      <c r="F86" s="27"/>
      <c r="G86" s="27"/>
      <c r="H86" s="27"/>
      <c r="I86" s="27"/>
      <c r="J86" s="27"/>
      <c r="K86" s="27"/>
      <c r="L86" s="27"/>
      <c r="M86" s="27"/>
      <c r="N86" s="27"/>
      <c r="O86" s="27"/>
      <c r="P86" s="27"/>
      <c r="Q86" s="27"/>
      <c r="R86" s="27"/>
    </row>
    <row r="87" spans="1:18" x14ac:dyDescent="0.25">
      <c r="A87" s="27"/>
      <c r="B87" s="27"/>
      <c r="C87" s="27"/>
      <c r="D87" s="27"/>
      <c r="E87" s="27"/>
      <c r="F87" s="27"/>
      <c r="G87" s="27"/>
      <c r="H87" s="27"/>
      <c r="I87" s="27"/>
      <c r="J87" s="27"/>
      <c r="K87" s="27"/>
      <c r="L87" s="27"/>
      <c r="M87" s="27"/>
      <c r="N87" s="27"/>
      <c r="O87" s="27"/>
      <c r="P87" s="27"/>
      <c r="Q87" s="27"/>
      <c r="R87" s="27"/>
    </row>
    <row r="88" spans="1:18" x14ac:dyDescent="0.25">
      <c r="A88" s="27"/>
      <c r="B88" s="27"/>
      <c r="C88" s="27"/>
      <c r="D88" s="27"/>
      <c r="E88" s="27"/>
      <c r="F88" s="27"/>
      <c r="G88" s="27"/>
      <c r="H88" s="27"/>
      <c r="I88" s="27"/>
      <c r="J88" s="27"/>
      <c r="K88" s="27"/>
      <c r="L88" s="27"/>
      <c r="M88" s="27"/>
      <c r="N88" s="27"/>
      <c r="O88" s="27"/>
      <c r="P88" s="27"/>
      <c r="Q88" s="27"/>
      <c r="R88" s="27"/>
    </row>
    <row r="89" spans="1:18" x14ac:dyDescent="0.25">
      <c r="A89" s="27"/>
      <c r="B89" s="27"/>
      <c r="C89" s="27"/>
      <c r="D89" s="27"/>
      <c r="E89" s="27"/>
      <c r="F89" s="27"/>
      <c r="G89" s="27"/>
      <c r="H89" s="27"/>
      <c r="I89" s="27"/>
      <c r="J89" s="27"/>
      <c r="K89" s="27"/>
      <c r="L89" s="27"/>
      <c r="M89" s="27"/>
      <c r="N89" s="27"/>
      <c r="O89" s="27"/>
      <c r="P89" s="27"/>
      <c r="Q89" s="27"/>
      <c r="R89" s="27"/>
    </row>
    <row r="90" spans="1:18" x14ac:dyDescent="0.25">
      <c r="A90" s="27"/>
      <c r="B90" s="27"/>
      <c r="C90" s="27"/>
      <c r="D90" s="27"/>
      <c r="E90" s="27"/>
      <c r="F90" s="27"/>
      <c r="G90" s="27"/>
      <c r="H90" s="27"/>
      <c r="I90" s="27"/>
      <c r="J90" s="27"/>
      <c r="K90" s="27"/>
      <c r="L90" s="27"/>
      <c r="M90" s="27"/>
      <c r="N90" s="27"/>
      <c r="O90" s="27"/>
      <c r="P90" s="27"/>
      <c r="Q90" s="27"/>
      <c r="R90" s="27"/>
    </row>
    <row r="91" spans="1:18" x14ac:dyDescent="0.25">
      <c r="A91" s="27"/>
      <c r="B91" s="27"/>
      <c r="C91" s="27"/>
      <c r="D91" s="27"/>
      <c r="E91" s="27"/>
      <c r="F91" s="27"/>
      <c r="G91" s="27"/>
      <c r="H91" s="27"/>
      <c r="I91" s="27"/>
      <c r="J91" s="27"/>
      <c r="K91" s="27"/>
      <c r="L91" s="27"/>
      <c r="M91" s="27"/>
      <c r="N91" s="27"/>
      <c r="O91" s="27"/>
      <c r="P91" s="27"/>
      <c r="Q91" s="27"/>
      <c r="R91" s="27"/>
    </row>
    <row r="92" spans="1:18" x14ac:dyDescent="0.25">
      <c r="A92" s="27"/>
      <c r="B92" s="27"/>
      <c r="C92" s="27"/>
      <c r="D92" s="27"/>
      <c r="E92" s="27"/>
      <c r="F92" s="27"/>
      <c r="G92" s="27"/>
      <c r="H92" s="27"/>
      <c r="I92" s="27"/>
      <c r="J92" s="27"/>
      <c r="K92" s="27"/>
      <c r="L92" s="27"/>
      <c r="M92" s="27"/>
      <c r="N92" s="27"/>
      <c r="O92" s="27"/>
      <c r="P92" s="27"/>
      <c r="Q92" s="27"/>
      <c r="R92" s="27"/>
    </row>
    <row r="93" spans="1:18" x14ac:dyDescent="0.25">
      <c r="A93" s="27"/>
      <c r="B93" s="27"/>
      <c r="C93" s="27"/>
      <c r="D93" s="27"/>
      <c r="E93" s="27"/>
      <c r="F93" s="27"/>
      <c r="G93" s="27"/>
      <c r="H93" s="27"/>
      <c r="I93" s="27"/>
      <c r="J93" s="27"/>
      <c r="K93" s="27"/>
      <c r="L93" s="27"/>
      <c r="M93" s="27"/>
      <c r="N93" s="27"/>
      <c r="O93" s="27"/>
      <c r="P93" s="27"/>
      <c r="Q93" s="27"/>
      <c r="R93" s="27"/>
    </row>
    <row r="94" spans="1:18" x14ac:dyDescent="0.25">
      <c r="A94" s="27"/>
      <c r="B94" s="27"/>
      <c r="C94" s="27"/>
      <c r="D94" s="27"/>
      <c r="E94" s="27"/>
      <c r="F94" s="27"/>
      <c r="G94" s="27"/>
      <c r="H94" s="27"/>
      <c r="I94" s="27"/>
      <c r="J94" s="27"/>
      <c r="K94" s="27"/>
      <c r="L94" s="27"/>
      <c r="M94" s="27"/>
      <c r="N94" s="27"/>
      <c r="O94" s="27"/>
      <c r="P94" s="27"/>
      <c r="Q94" s="27"/>
      <c r="R94" s="27"/>
    </row>
    <row r="95" spans="1:18" x14ac:dyDescent="0.25">
      <c r="A95" s="27"/>
      <c r="B95" s="27"/>
      <c r="C95" s="27"/>
      <c r="D95" s="27"/>
      <c r="E95" s="27"/>
      <c r="F95" s="27"/>
      <c r="G95" s="27"/>
      <c r="H95" s="27"/>
      <c r="I95" s="27"/>
      <c r="J95" s="27"/>
      <c r="K95" s="27"/>
      <c r="L95" s="27"/>
      <c r="M95" s="27"/>
      <c r="N95" s="27"/>
      <c r="O95" s="27"/>
      <c r="P95" s="27"/>
      <c r="Q95" s="27"/>
      <c r="R95" s="27"/>
    </row>
    <row r="96" spans="1:18" x14ac:dyDescent="0.25">
      <c r="A96" s="27"/>
      <c r="B96" s="27"/>
      <c r="C96" s="27"/>
      <c r="D96" s="27"/>
      <c r="E96" s="27"/>
      <c r="F96" s="27"/>
      <c r="G96" s="27"/>
      <c r="H96" s="27"/>
      <c r="I96" s="27"/>
      <c r="J96" s="27"/>
      <c r="K96" s="27"/>
      <c r="L96" s="27"/>
      <c r="M96" s="27"/>
      <c r="N96" s="27"/>
      <c r="O96" s="27"/>
      <c r="P96" s="27"/>
      <c r="Q96" s="27"/>
      <c r="R96" s="27"/>
    </row>
    <row r="97" spans="1:18" x14ac:dyDescent="0.25">
      <c r="A97" s="27"/>
      <c r="B97" s="27"/>
      <c r="C97" s="27"/>
      <c r="D97" s="27"/>
      <c r="E97" s="27"/>
      <c r="F97" s="27"/>
      <c r="G97" s="27"/>
      <c r="H97" s="27"/>
      <c r="I97" s="27"/>
      <c r="J97" s="27"/>
      <c r="K97" s="27"/>
      <c r="L97" s="27"/>
      <c r="M97" s="27"/>
      <c r="N97" s="27"/>
      <c r="O97" s="27"/>
      <c r="P97" s="27"/>
      <c r="Q97" s="27"/>
      <c r="R97" s="27"/>
    </row>
    <row r="98" spans="1:18" x14ac:dyDescent="0.25">
      <c r="A98" s="27"/>
      <c r="B98" s="27"/>
      <c r="C98" s="27"/>
      <c r="D98" s="27"/>
      <c r="E98" s="27"/>
      <c r="F98" s="27"/>
      <c r="G98" s="27"/>
      <c r="H98" s="27"/>
      <c r="I98" s="27"/>
      <c r="J98" s="27"/>
      <c r="K98" s="27"/>
      <c r="L98" s="27"/>
      <c r="M98" s="27"/>
      <c r="N98" s="27"/>
      <c r="O98" s="27"/>
      <c r="P98" s="27"/>
      <c r="Q98" s="27"/>
      <c r="R98" s="27"/>
    </row>
    <row r="99" spans="1:18" x14ac:dyDescent="0.25">
      <c r="A99" s="27"/>
      <c r="B99" s="27"/>
      <c r="C99" s="27"/>
      <c r="D99" s="27"/>
      <c r="E99" s="27"/>
      <c r="F99" s="27"/>
      <c r="G99" s="27"/>
      <c r="H99" s="27"/>
      <c r="I99" s="27"/>
      <c r="J99" s="27"/>
      <c r="K99" s="27"/>
      <c r="L99" s="27"/>
      <c r="M99" s="27"/>
      <c r="N99" s="27"/>
      <c r="O99" s="27"/>
      <c r="P99" s="27"/>
      <c r="Q99" s="27"/>
      <c r="R99" s="27"/>
    </row>
    <row r="100" spans="1:18" x14ac:dyDescent="0.25">
      <c r="A100" s="27"/>
      <c r="B100" s="27"/>
      <c r="C100" s="27"/>
      <c r="D100" s="27"/>
      <c r="E100" s="27"/>
      <c r="F100" s="27"/>
      <c r="G100" s="27"/>
      <c r="H100" s="27"/>
      <c r="I100" s="27"/>
      <c r="J100" s="27"/>
      <c r="K100" s="27"/>
      <c r="L100" s="27"/>
      <c r="M100" s="27"/>
      <c r="N100" s="27"/>
      <c r="O100" s="27"/>
      <c r="P100" s="27"/>
      <c r="Q100" s="27"/>
      <c r="R100" s="27"/>
    </row>
    <row r="101" spans="1:18" x14ac:dyDescent="0.25">
      <c r="A101" s="27"/>
      <c r="B101" s="27"/>
      <c r="C101" s="27"/>
      <c r="D101" s="27"/>
      <c r="E101" s="27"/>
      <c r="F101" s="27"/>
      <c r="G101" s="27"/>
      <c r="H101" s="27"/>
      <c r="I101" s="27"/>
      <c r="J101" s="27"/>
      <c r="K101" s="27"/>
      <c r="L101" s="27"/>
      <c r="M101" s="27"/>
      <c r="N101" s="27"/>
      <c r="O101" s="27"/>
      <c r="P101" s="27"/>
      <c r="Q101" s="27"/>
      <c r="R101" s="27"/>
    </row>
    <row r="102" spans="1:18" x14ac:dyDescent="0.25">
      <c r="A102" s="27"/>
      <c r="B102" s="27"/>
      <c r="C102" s="27"/>
      <c r="D102" s="27"/>
      <c r="E102" s="27"/>
      <c r="F102" s="27"/>
      <c r="G102" s="27"/>
      <c r="H102" s="27"/>
      <c r="I102" s="27"/>
      <c r="J102" s="27"/>
      <c r="K102" s="27"/>
      <c r="L102" s="27"/>
      <c r="M102" s="27"/>
      <c r="N102" s="27"/>
      <c r="O102" s="27"/>
      <c r="P102" s="27"/>
      <c r="Q102" s="27"/>
      <c r="R102" s="27"/>
    </row>
    <row r="103" spans="1:18" x14ac:dyDescent="0.25">
      <c r="A103" s="27"/>
      <c r="B103" s="27"/>
      <c r="C103" s="27"/>
      <c r="D103" s="27"/>
      <c r="E103" s="27"/>
      <c r="F103" s="27"/>
      <c r="G103" s="27"/>
      <c r="H103" s="27"/>
      <c r="I103" s="27"/>
      <c r="J103" s="27"/>
      <c r="K103" s="27"/>
      <c r="L103" s="27"/>
      <c r="M103" s="27"/>
      <c r="N103" s="27"/>
      <c r="O103" s="27"/>
      <c r="P103" s="27"/>
      <c r="Q103" s="27"/>
      <c r="R103" s="27"/>
    </row>
    <row r="104" spans="1:18" x14ac:dyDescent="0.25">
      <c r="A104" s="27"/>
      <c r="B104" s="27"/>
      <c r="C104" s="27"/>
      <c r="D104" s="27"/>
      <c r="E104" s="27"/>
      <c r="F104" s="27"/>
      <c r="G104" s="27"/>
      <c r="H104" s="27"/>
      <c r="I104" s="27"/>
      <c r="J104" s="27"/>
      <c r="K104" s="27"/>
      <c r="L104" s="27"/>
      <c r="M104" s="27"/>
      <c r="N104" s="27"/>
      <c r="O104" s="27"/>
      <c r="P104" s="27"/>
      <c r="Q104" s="27"/>
      <c r="R104" s="27"/>
    </row>
    <row r="105" spans="1:18" x14ac:dyDescent="0.25">
      <c r="A105" s="27"/>
      <c r="B105" s="27"/>
      <c r="C105" s="27"/>
      <c r="D105" s="27"/>
      <c r="E105" s="27"/>
      <c r="F105" s="27"/>
      <c r="G105" s="27"/>
      <c r="H105" s="27"/>
      <c r="I105" s="27"/>
      <c r="J105" s="27"/>
      <c r="K105" s="27"/>
      <c r="L105" s="27"/>
      <c r="M105" s="27"/>
      <c r="N105" s="27"/>
      <c r="O105" s="27"/>
      <c r="P105" s="27"/>
      <c r="Q105" s="27"/>
      <c r="R105" s="27"/>
    </row>
    <row r="106" spans="1:18" x14ac:dyDescent="0.25">
      <c r="A106" s="27"/>
      <c r="B106" s="27"/>
      <c r="C106" s="27"/>
      <c r="D106" s="27"/>
      <c r="E106" s="27"/>
      <c r="F106" s="27"/>
      <c r="G106" s="27"/>
      <c r="H106" s="27"/>
      <c r="I106" s="27"/>
      <c r="J106" s="27"/>
      <c r="K106" s="27"/>
      <c r="L106" s="27"/>
      <c r="M106" s="27"/>
      <c r="N106" s="27"/>
      <c r="O106" s="27"/>
      <c r="P106" s="27"/>
      <c r="Q106" s="27"/>
      <c r="R106" s="27"/>
    </row>
    <row r="107" spans="1:18" x14ac:dyDescent="0.25">
      <c r="A107" s="27"/>
      <c r="B107" s="27"/>
      <c r="C107" s="27"/>
      <c r="D107" s="27"/>
      <c r="E107" s="27"/>
      <c r="F107" s="27"/>
      <c r="G107" s="27"/>
      <c r="H107" s="27"/>
      <c r="I107" s="27"/>
      <c r="J107" s="27"/>
      <c r="K107" s="27"/>
      <c r="L107" s="27"/>
      <c r="M107" s="27"/>
      <c r="N107" s="27"/>
      <c r="O107" s="27"/>
      <c r="P107" s="27"/>
      <c r="Q107" s="27"/>
      <c r="R107" s="27"/>
    </row>
    <row r="108" spans="1:18" x14ac:dyDescent="0.25">
      <c r="A108" s="27"/>
      <c r="B108" s="27"/>
      <c r="C108" s="27"/>
      <c r="D108" s="27"/>
      <c r="E108" s="27"/>
      <c r="F108" s="27"/>
      <c r="G108" s="27"/>
      <c r="H108" s="27"/>
      <c r="I108" s="27"/>
      <c r="J108" s="27"/>
      <c r="K108" s="27"/>
      <c r="L108" s="27"/>
      <c r="M108" s="27"/>
      <c r="N108" s="27"/>
      <c r="O108" s="27"/>
      <c r="P108" s="27"/>
      <c r="Q108" s="27"/>
      <c r="R108" s="27"/>
    </row>
    <row r="109" spans="1:18" x14ac:dyDescent="0.25">
      <c r="A109" s="27"/>
      <c r="B109" s="27"/>
      <c r="C109" s="27"/>
      <c r="D109" s="27"/>
      <c r="E109" s="27"/>
      <c r="F109" s="27"/>
      <c r="G109" s="27"/>
      <c r="H109" s="27"/>
      <c r="I109" s="27"/>
      <c r="J109" s="27"/>
      <c r="K109" s="27"/>
      <c r="L109" s="27"/>
      <c r="M109" s="27"/>
      <c r="N109" s="27"/>
      <c r="O109" s="27"/>
      <c r="P109" s="27"/>
      <c r="Q109" s="27"/>
      <c r="R109" s="27"/>
    </row>
    <row r="110" spans="1:18" x14ac:dyDescent="0.25">
      <c r="A110" s="27"/>
      <c r="B110" s="27"/>
      <c r="C110" s="27"/>
      <c r="D110" s="27"/>
      <c r="E110" s="27"/>
      <c r="F110" s="27"/>
      <c r="G110" s="27"/>
      <c r="H110" s="27"/>
      <c r="I110" s="27"/>
      <c r="J110" s="27"/>
      <c r="K110" s="27"/>
      <c r="L110" s="27"/>
      <c r="M110" s="27"/>
      <c r="N110" s="27"/>
      <c r="O110" s="27"/>
      <c r="P110" s="27"/>
      <c r="Q110" s="27"/>
      <c r="R110" s="27"/>
    </row>
    <row r="111" spans="1:18" x14ac:dyDescent="0.25">
      <c r="A111" s="27"/>
      <c r="B111" s="27"/>
      <c r="C111" s="27"/>
      <c r="D111" s="27"/>
      <c r="E111" s="27"/>
      <c r="F111" s="27"/>
      <c r="G111" s="27"/>
      <c r="H111" s="27"/>
      <c r="I111" s="27"/>
      <c r="J111" s="27"/>
      <c r="K111" s="27"/>
      <c r="L111" s="27"/>
      <c r="M111" s="27"/>
      <c r="N111" s="27"/>
      <c r="O111" s="27"/>
      <c r="P111" s="27"/>
      <c r="Q111" s="27"/>
      <c r="R111" s="27"/>
    </row>
    <row r="112" spans="1:18" x14ac:dyDescent="0.25">
      <c r="A112" s="27"/>
      <c r="B112" s="27"/>
      <c r="C112" s="27"/>
      <c r="D112" s="27"/>
      <c r="E112" s="27"/>
      <c r="F112" s="27"/>
      <c r="G112" s="27"/>
      <c r="H112" s="27"/>
      <c r="I112" s="27"/>
      <c r="J112" s="27"/>
      <c r="K112" s="27"/>
      <c r="L112" s="27"/>
      <c r="M112" s="27"/>
      <c r="N112" s="27"/>
      <c r="O112" s="27"/>
      <c r="P112" s="27"/>
      <c r="Q112" s="27"/>
      <c r="R112" s="27"/>
    </row>
    <row r="113" spans="1:18" x14ac:dyDescent="0.25">
      <c r="A113" s="27"/>
      <c r="B113" s="27"/>
      <c r="C113" s="27"/>
      <c r="D113" s="27"/>
      <c r="E113" s="27"/>
      <c r="F113" s="27"/>
      <c r="G113" s="27"/>
      <c r="H113" s="27"/>
      <c r="I113" s="27"/>
      <c r="J113" s="27"/>
      <c r="K113" s="27"/>
      <c r="L113" s="27"/>
      <c r="M113" s="27"/>
      <c r="N113" s="27"/>
      <c r="O113" s="27"/>
      <c r="P113" s="27"/>
      <c r="Q113" s="27"/>
      <c r="R113" s="27"/>
    </row>
    <row r="114" spans="1:18" x14ac:dyDescent="0.25">
      <c r="A114" s="27"/>
      <c r="B114" s="27"/>
      <c r="C114" s="27"/>
      <c r="D114" s="27"/>
      <c r="E114" s="27"/>
      <c r="F114" s="27"/>
      <c r="G114" s="27"/>
      <c r="H114" s="27"/>
      <c r="I114" s="27"/>
      <c r="J114" s="27"/>
      <c r="K114" s="27"/>
      <c r="L114" s="27"/>
      <c r="M114" s="27"/>
      <c r="N114" s="27"/>
      <c r="O114" s="27"/>
      <c r="P114" s="27"/>
      <c r="Q114" s="27"/>
      <c r="R114" s="27"/>
    </row>
    <row r="115" spans="1:18" x14ac:dyDescent="0.25">
      <c r="A115" s="27"/>
      <c r="B115" s="27"/>
      <c r="C115" s="27"/>
      <c r="D115" s="27"/>
      <c r="E115" s="27"/>
      <c r="F115" s="27"/>
      <c r="G115" s="27"/>
      <c r="H115" s="27"/>
      <c r="I115" s="27"/>
      <c r="J115" s="27"/>
      <c r="K115" s="27"/>
      <c r="L115" s="27"/>
      <c r="M115" s="27"/>
      <c r="N115" s="27"/>
      <c r="O115" s="27"/>
      <c r="P115" s="27"/>
      <c r="Q115" s="27"/>
      <c r="R115" s="27"/>
    </row>
    <row r="116" spans="1:18" x14ac:dyDescent="0.25">
      <c r="A116" s="27"/>
      <c r="B116" s="27"/>
      <c r="C116" s="27"/>
      <c r="D116" s="27"/>
      <c r="E116" s="27"/>
      <c r="F116" s="27"/>
      <c r="G116" s="27"/>
      <c r="H116" s="27"/>
      <c r="I116" s="27"/>
      <c r="J116" s="27"/>
      <c r="K116" s="27"/>
      <c r="L116" s="27"/>
      <c r="M116" s="27"/>
      <c r="N116" s="27"/>
      <c r="O116" s="27"/>
      <c r="P116" s="27"/>
      <c r="Q116" s="27"/>
      <c r="R116" s="27"/>
    </row>
    <row r="117" spans="1:18" x14ac:dyDescent="0.25">
      <c r="A117" s="27"/>
      <c r="B117" s="27"/>
      <c r="C117" s="27"/>
      <c r="D117" s="27"/>
      <c r="E117" s="27"/>
      <c r="F117" s="27"/>
      <c r="G117" s="27"/>
      <c r="H117" s="27"/>
      <c r="I117" s="27"/>
      <c r="J117" s="27"/>
      <c r="K117" s="27"/>
      <c r="L117" s="27"/>
      <c r="M117" s="27"/>
      <c r="N117" s="27"/>
      <c r="O117" s="27"/>
      <c r="P117" s="27"/>
      <c r="Q117" s="27"/>
      <c r="R117" s="27"/>
    </row>
    <row r="118" spans="1:18" x14ac:dyDescent="0.25">
      <c r="A118" s="27"/>
      <c r="B118" s="27"/>
      <c r="C118" s="27"/>
      <c r="D118" s="27"/>
      <c r="E118" s="27"/>
      <c r="F118" s="27"/>
      <c r="G118" s="27"/>
      <c r="H118" s="27"/>
      <c r="I118" s="27"/>
      <c r="J118" s="27"/>
      <c r="K118" s="27"/>
      <c r="L118" s="27"/>
      <c r="M118" s="27"/>
      <c r="N118" s="27"/>
      <c r="O118" s="27"/>
      <c r="P118" s="27"/>
      <c r="Q118" s="27"/>
      <c r="R118" s="27"/>
    </row>
    <row r="119" spans="1:18" x14ac:dyDescent="0.25">
      <c r="A119" s="27"/>
      <c r="B119" s="27"/>
      <c r="C119" s="27"/>
      <c r="D119" s="27"/>
      <c r="E119" s="27"/>
      <c r="F119" s="27"/>
      <c r="G119" s="27"/>
      <c r="H119" s="27"/>
      <c r="I119" s="27"/>
      <c r="J119" s="27"/>
      <c r="K119" s="27"/>
      <c r="L119" s="27"/>
      <c r="M119" s="27"/>
      <c r="N119" s="27"/>
      <c r="O119" s="27"/>
      <c r="P119" s="27"/>
      <c r="Q119" s="27"/>
      <c r="R119" s="27"/>
    </row>
    <row r="120" spans="1:18" x14ac:dyDescent="0.25">
      <c r="A120" s="27"/>
      <c r="B120" s="27"/>
      <c r="C120" s="27"/>
      <c r="D120" s="27"/>
      <c r="E120" s="27"/>
      <c r="F120" s="27"/>
      <c r="G120" s="27"/>
      <c r="H120" s="27"/>
      <c r="I120" s="27"/>
      <c r="J120" s="27"/>
      <c r="K120" s="27"/>
      <c r="L120" s="27"/>
      <c r="M120" s="27"/>
      <c r="N120" s="27"/>
      <c r="O120" s="27"/>
      <c r="P120" s="27"/>
      <c r="Q120" s="27"/>
      <c r="R120" s="27"/>
    </row>
    <row r="121" spans="1:18" x14ac:dyDescent="0.25">
      <c r="A121" s="27"/>
      <c r="B121" s="27"/>
      <c r="C121" s="27"/>
      <c r="D121" s="27"/>
      <c r="E121" s="27"/>
      <c r="F121" s="27"/>
      <c r="G121" s="27"/>
      <c r="H121" s="27"/>
      <c r="I121" s="27"/>
      <c r="J121" s="27"/>
      <c r="K121" s="27"/>
      <c r="L121" s="27"/>
      <c r="M121" s="27"/>
      <c r="N121" s="27"/>
      <c r="O121" s="27"/>
      <c r="P121" s="27"/>
      <c r="Q121" s="27"/>
      <c r="R121" s="27"/>
    </row>
    <row r="122" spans="1:18" x14ac:dyDescent="0.25">
      <c r="A122" s="27"/>
      <c r="B122" s="27"/>
      <c r="C122" s="27"/>
      <c r="D122" s="27"/>
      <c r="E122" s="27"/>
      <c r="F122" s="27"/>
      <c r="G122" s="27"/>
      <c r="H122" s="27"/>
      <c r="I122" s="27"/>
      <c r="J122" s="27"/>
      <c r="K122" s="27"/>
      <c r="L122" s="27"/>
      <c r="M122" s="27"/>
      <c r="N122" s="27"/>
      <c r="O122" s="27"/>
      <c r="P122" s="27"/>
      <c r="Q122" s="27"/>
      <c r="R122" s="27"/>
    </row>
    <row r="123" spans="1:18" x14ac:dyDescent="0.25">
      <c r="A123" s="27"/>
      <c r="B123" s="27"/>
      <c r="C123" s="27"/>
      <c r="D123" s="27"/>
      <c r="E123" s="27"/>
      <c r="F123" s="27"/>
      <c r="G123" s="27"/>
      <c r="H123" s="27"/>
      <c r="I123" s="27"/>
      <c r="J123" s="27"/>
      <c r="K123" s="27"/>
      <c r="L123" s="27"/>
      <c r="M123" s="27"/>
      <c r="N123" s="27"/>
      <c r="O123" s="27"/>
      <c r="P123" s="27"/>
      <c r="Q123" s="27"/>
      <c r="R123" s="27"/>
    </row>
    <row r="124" spans="1:18" x14ac:dyDescent="0.25">
      <c r="A124" s="27"/>
      <c r="B124" s="27"/>
      <c r="C124" s="27"/>
      <c r="D124" s="27"/>
      <c r="E124" s="27"/>
      <c r="F124" s="27"/>
      <c r="G124" s="27"/>
      <c r="H124" s="27"/>
      <c r="I124" s="27"/>
      <c r="J124" s="27"/>
      <c r="K124" s="27"/>
      <c r="L124" s="27"/>
      <c r="M124" s="27"/>
      <c r="N124" s="27"/>
      <c r="O124" s="27"/>
      <c r="P124" s="27"/>
      <c r="Q124" s="27"/>
      <c r="R124" s="27"/>
    </row>
    <row r="125" spans="1:18" x14ac:dyDescent="0.25">
      <c r="A125" s="27"/>
      <c r="B125" s="27"/>
      <c r="C125" s="27"/>
      <c r="D125" s="27"/>
      <c r="E125" s="27"/>
      <c r="F125" s="27"/>
      <c r="G125" s="27"/>
      <c r="H125" s="27"/>
      <c r="I125" s="27"/>
      <c r="J125" s="27"/>
      <c r="K125" s="27"/>
      <c r="L125" s="27"/>
      <c r="M125" s="27"/>
      <c r="N125" s="27"/>
      <c r="O125" s="27"/>
      <c r="P125" s="27"/>
      <c r="Q125" s="27"/>
      <c r="R125" s="27"/>
    </row>
    <row r="126" spans="1:18" x14ac:dyDescent="0.25">
      <c r="A126" s="27"/>
      <c r="B126" s="27"/>
      <c r="C126" s="27"/>
      <c r="D126" s="27"/>
      <c r="E126" s="27"/>
      <c r="F126" s="27"/>
      <c r="G126" s="27"/>
      <c r="H126" s="27"/>
      <c r="I126" s="27"/>
      <c r="J126" s="27"/>
      <c r="K126" s="27"/>
      <c r="L126" s="27"/>
      <c r="M126" s="27"/>
      <c r="N126" s="27"/>
      <c r="O126" s="27"/>
      <c r="P126" s="27"/>
      <c r="Q126" s="27"/>
      <c r="R126" s="27"/>
    </row>
    <row r="127" spans="1:18" x14ac:dyDescent="0.25">
      <c r="A127" s="27"/>
      <c r="B127" s="27"/>
      <c r="C127" s="27"/>
      <c r="D127" s="27"/>
      <c r="E127" s="27"/>
      <c r="F127" s="27"/>
      <c r="G127" s="27"/>
      <c r="H127" s="27"/>
      <c r="I127" s="27"/>
      <c r="J127" s="27"/>
      <c r="K127" s="27"/>
      <c r="L127" s="27"/>
      <c r="M127" s="27"/>
      <c r="N127" s="27"/>
      <c r="O127" s="27"/>
      <c r="P127" s="27"/>
      <c r="Q127" s="27"/>
      <c r="R127" s="27"/>
    </row>
    <row r="128" spans="1:18" x14ac:dyDescent="0.25">
      <c r="A128" s="27"/>
      <c r="B128" s="27"/>
      <c r="C128" s="27"/>
      <c r="D128" s="27"/>
      <c r="E128" s="27"/>
      <c r="F128" s="27"/>
      <c r="G128" s="27"/>
      <c r="H128" s="27"/>
      <c r="I128" s="27"/>
      <c r="J128" s="27"/>
      <c r="K128" s="27"/>
      <c r="L128" s="27"/>
      <c r="M128" s="27"/>
      <c r="N128" s="27"/>
      <c r="O128" s="27"/>
      <c r="P128" s="27"/>
      <c r="Q128" s="27"/>
      <c r="R128" s="27"/>
    </row>
    <row r="129" spans="1:18" x14ac:dyDescent="0.25">
      <c r="A129" s="27"/>
      <c r="B129" s="27"/>
      <c r="C129" s="27"/>
      <c r="D129" s="27"/>
      <c r="E129" s="27"/>
      <c r="F129" s="27"/>
      <c r="G129" s="27"/>
      <c r="H129" s="27"/>
      <c r="I129" s="27"/>
      <c r="J129" s="27"/>
      <c r="K129" s="27"/>
      <c r="L129" s="27"/>
      <c r="M129" s="27"/>
      <c r="N129" s="27"/>
      <c r="O129" s="27"/>
      <c r="P129" s="27"/>
      <c r="Q129" s="27"/>
      <c r="R129" s="27"/>
    </row>
    <row r="130" spans="1:18" x14ac:dyDescent="0.25">
      <c r="A130" s="27"/>
      <c r="B130" s="27"/>
      <c r="C130" s="27"/>
      <c r="D130" s="27"/>
      <c r="E130" s="27"/>
      <c r="F130" s="27"/>
      <c r="G130" s="27"/>
      <c r="H130" s="27"/>
      <c r="I130" s="27"/>
      <c r="J130" s="27"/>
      <c r="K130" s="27"/>
      <c r="L130" s="27"/>
      <c r="M130" s="27"/>
      <c r="N130" s="27"/>
      <c r="O130" s="27"/>
      <c r="P130" s="27"/>
      <c r="Q130" s="27"/>
      <c r="R130" s="27"/>
    </row>
    <row r="131" spans="1:18" x14ac:dyDescent="0.25">
      <c r="A131" s="27"/>
      <c r="B131" s="27"/>
      <c r="C131" s="27"/>
      <c r="D131" s="27"/>
      <c r="E131" s="27"/>
      <c r="F131" s="27"/>
      <c r="G131" s="27"/>
      <c r="H131" s="27"/>
      <c r="I131" s="27"/>
      <c r="J131" s="27"/>
      <c r="K131" s="27"/>
      <c r="L131" s="27"/>
      <c r="M131" s="27"/>
      <c r="N131" s="27"/>
      <c r="O131" s="27"/>
      <c r="P131" s="27"/>
      <c r="Q131" s="27"/>
      <c r="R131" s="27"/>
    </row>
    <row r="132" spans="1:18" x14ac:dyDescent="0.25">
      <c r="A132" s="27"/>
      <c r="B132" s="27"/>
      <c r="C132" s="27"/>
      <c r="D132" s="27"/>
      <c r="E132" s="27"/>
      <c r="F132" s="27"/>
      <c r="G132" s="27"/>
      <c r="H132" s="27"/>
      <c r="I132" s="27"/>
      <c r="J132" s="27"/>
      <c r="K132" s="27"/>
      <c r="L132" s="27"/>
      <c r="M132" s="27"/>
      <c r="N132" s="27"/>
      <c r="O132" s="27"/>
      <c r="P132" s="27"/>
      <c r="Q132" s="27"/>
      <c r="R132" s="27"/>
    </row>
    <row r="133" spans="1:18" x14ac:dyDescent="0.25">
      <c r="A133" s="27"/>
      <c r="B133" s="27"/>
      <c r="C133" s="27"/>
      <c r="D133" s="27"/>
      <c r="E133" s="27"/>
      <c r="F133" s="27"/>
      <c r="G133" s="27"/>
      <c r="H133" s="27"/>
      <c r="I133" s="27"/>
      <c r="J133" s="27"/>
      <c r="K133" s="27"/>
      <c r="L133" s="27"/>
      <c r="M133" s="27"/>
      <c r="N133" s="27"/>
      <c r="O133" s="27"/>
      <c r="P133" s="27"/>
      <c r="Q133" s="27"/>
      <c r="R133" s="27"/>
    </row>
    <row r="134" spans="1:18" x14ac:dyDescent="0.25">
      <c r="A134" s="27"/>
      <c r="B134" s="27"/>
      <c r="C134" s="27"/>
      <c r="D134" s="27"/>
      <c r="E134" s="27"/>
      <c r="F134" s="27"/>
      <c r="G134" s="27"/>
      <c r="H134" s="27"/>
      <c r="I134" s="27"/>
      <c r="J134" s="27"/>
      <c r="K134" s="27"/>
      <c r="L134" s="27"/>
      <c r="M134" s="27"/>
      <c r="N134" s="27"/>
      <c r="O134" s="27"/>
      <c r="P134" s="27"/>
      <c r="Q134" s="27"/>
      <c r="R134" s="27"/>
    </row>
    <row r="135" spans="1:18" x14ac:dyDescent="0.25">
      <c r="A135" s="27"/>
      <c r="B135" s="27"/>
      <c r="C135" s="27"/>
      <c r="D135" s="27"/>
      <c r="E135" s="27"/>
      <c r="F135" s="27"/>
      <c r="G135" s="27"/>
      <c r="H135" s="27"/>
      <c r="I135" s="27"/>
      <c r="J135" s="27"/>
      <c r="K135" s="27"/>
      <c r="L135" s="27"/>
      <c r="M135" s="27"/>
      <c r="N135" s="27"/>
      <c r="O135" s="27"/>
      <c r="P135" s="27"/>
      <c r="Q135" s="27"/>
      <c r="R135" s="27"/>
    </row>
    <row r="136" spans="1:18" x14ac:dyDescent="0.25">
      <c r="A136" s="27"/>
      <c r="B136" s="27"/>
      <c r="C136" s="27"/>
      <c r="D136" s="27"/>
      <c r="E136" s="27"/>
      <c r="F136" s="27"/>
      <c r="G136" s="27"/>
      <c r="H136" s="27"/>
      <c r="I136" s="27"/>
      <c r="J136" s="27"/>
      <c r="K136" s="27"/>
      <c r="L136" s="27"/>
      <c r="M136" s="27"/>
      <c r="N136" s="27"/>
      <c r="O136" s="27"/>
      <c r="P136" s="27"/>
      <c r="Q136" s="27"/>
      <c r="R136" s="27"/>
    </row>
    <row r="137" spans="1:18" x14ac:dyDescent="0.25">
      <c r="A137" s="27"/>
      <c r="B137" s="27"/>
      <c r="C137" s="27"/>
      <c r="D137" s="27"/>
      <c r="E137" s="27"/>
      <c r="F137" s="27"/>
      <c r="G137" s="27"/>
      <c r="H137" s="27"/>
      <c r="I137" s="27"/>
      <c r="J137" s="27"/>
      <c r="K137" s="27"/>
      <c r="L137" s="27"/>
      <c r="M137" s="27"/>
      <c r="N137" s="27"/>
      <c r="O137" s="27"/>
      <c r="P137" s="27"/>
      <c r="Q137" s="27"/>
      <c r="R137" s="27"/>
    </row>
    <row r="138" spans="1:18" x14ac:dyDescent="0.25">
      <c r="A138" s="27"/>
      <c r="B138" s="27"/>
      <c r="C138" s="27"/>
      <c r="D138" s="27"/>
      <c r="E138" s="27"/>
      <c r="F138" s="27"/>
      <c r="G138" s="27"/>
      <c r="H138" s="27"/>
      <c r="I138" s="27"/>
      <c r="J138" s="27"/>
      <c r="K138" s="27"/>
      <c r="L138" s="27"/>
      <c r="M138" s="27"/>
      <c r="N138" s="27"/>
      <c r="O138" s="27"/>
      <c r="P138" s="27"/>
      <c r="Q138" s="27"/>
      <c r="R138" s="27"/>
    </row>
    <row r="139" spans="1:18" x14ac:dyDescent="0.25">
      <c r="A139" s="27"/>
      <c r="B139" s="27"/>
      <c r="C139" s="27"/>
      <c r="D139" s="27"/>
      <c r="E139" s="27"/>
      <c r="F139" s="27"/>
      <c r="G139" s="27"/>
      <c r="H139" s="27"/>
      <c r="I139" s="27"/>
      <c r="J139" s="27"/>
      <c r="K139" s="27"/>
      <c r="L139" s="27"/>
      <c r="M139" s="27"/>
      <c r="N139" s="27"/>
      <c r="O139" s="27"/>
      <c r="P139" s="27"/>
      <c r="Q139" s="27"/>
      <c r="R139" s="27"/>
    </row>
    <row r="140" spans="1:18" x14ac:dyDescent="0.25">
      <c r="A140" s="27"/>
      <c r="B140" s="27"/>
      <c r="C140" s="27"/>
      <c r="D140" s="27"/>
      <c r="E140" s="27"/>
      <c r="F140" s="27"/>
      <c r="G140" s="27"/>
      <c r="H140" s="27"/>
      <c r="I140" s="27"/>
      <c r="J140" s="27"/>
      <c r="K140" s="27"/>
      <c r="L140" s="27"/>
      <c r="M140" s="27"/>
      <c r="N140" s="27"/>
      <c r="O140" s="27"/>
      <c r="P140" s="27"/>
      <c r="Q140" s="27"/>
      <c r="R140" s="27"/>
    </row>
    <row r="141" spans="1:18" x14ac:dyDescent="0.25">
      <c r="A141" s="27"/>
      <c r="B141" s="27"/>
      <c r="C141" s="27"/>
      <c r="D141" s="27"/>
      <c r="E141" s="27"/>
      <c r="F141" s="27"/>
      <c r="G141" s="27"/>
      <c r="H141" s="27"/>
      <c r="I141" s="27"/>
      <c r="J141" s="27"/>
      <c r="K141" s="27"/>
      <c r="L141" s="27"/>
      <c r="M141" s="27"/>
      <c r="N141" s="27"/>
      <c r="O141" s="27"/>
      <c r="P141" s="27"/>
      <c r="Q141" s="27"/>
      <c r="R141" s="27"/>
    </row>
    <row r="142" spans="1:18" x14ac:dyDescent="0.25">
      <c r="A142" s="27"/>
      <c r="B142" s="27"/>
      <c r="C142" s="27"/>
      <c r="D142" s="27"/>
      <c r="E142" s="27"/>
      <c r="F142" s="27"/>
      <c r="G142" s="27"/>
      <c r="H142" s="27"/>
      <c r="I142" s="27"/>
      <c r="J142" s="27"/>
      <c r="K142" s="27"/>
      <c r="L142" s="27"/>
      <c r="M142" s="27"/>
      <c r="N142" s="27"/>
      <c r="O142" s="27"/>
      <c r="P142" s="27"/>
      <c r="Q142" s="27"/>
      <c r="R142" s="27"/>
    </row>
    <row r="143" spans="1:18" x14ac:dyDescent="0.25">
      <c r="A143" s="27"/>
      <c r="B143" s="27"/>
      <c r="C143" s="27"/>
      <c r="D143" s="27"/>
      <c r="E143" s="27"/>
      <c r="F143" s="27"/>
      <c r="G143" s="27"/>
      <c r="H143" s="27"/>
      <c r="I143" s="27"/>
      <c r="J143" s="27"/>
      <c r="K143" s="27"/>
      <c r="L143" s="27"/>
      <c r="M143" s="27"/>
      <c r="N143" s="27"/>
      <c r="O143" s="27"/>
      <c r="P143" s="27"/>
      <c r="Q143" s="27"/>
      <c r="R143" s="27"/>
    </row>
    <row r="144" spans="1:18" x14ac:dyDescent="0.25">
      <c r="A144" s="27"/>
      <c r="B144" s="27"/>
      <c r="C144" s="27"/>
      <c r="D144" s="27"/>
      <c r="E144" s="27"/>
      <c r="F144" s="27"/>
      <c r="G144" s="27"/>
      <c r="H144" s="27"/>
      <c r="I144" s="27"/>
      <c r="J144" s="27"/>
      <c r="K144" s="27"/>
      <c r="L144" s="27"/>
      <c r="M144" s="27"/>
      <c r="N144" s="27"/>
      <c r="O144" s="27"/>
      <c r="P144" s="27"/>
      <c r="Q144" s="27"/>
      <c r="R144" s="27"/>
    </row>
    <row r="145" spans="1:18" x14ac:dyDescent="0.25">
      <c r="A145" s="27"/>
      <c r="B145" s="27"/>
      <c r="C145" s="27"/>
      <c r="D145" s="27"/>
      <c r="E145" s="27"/>
      <c r="F145" s="27"/>
      <c r="G145" s="27"/>
      <c r="H145" s="27"/>
      <c r="I145" s="27"/>
      <c r="J145" s="27"/>
      <c r="K145" s="27"/>
      <c r="L145" s="27"/>
      <c r="M145" s="27"/>
      <c r="N145" s="27"/>
      <c r="O145" s="27"/>
      <c r="P145" s="27"/>
      <c r="Q145" s="27"/>
      <c r="R145" s="27"/>
    </row>
    <row r="146" spans="1:18" x14ac:dyDescent="0.25">
      <c r="A146" s="27"/>
      <c r="B146" s="27"/>
      <c r="C146" s="27"/>
      <c r="D146" s="27"/>
      <c r="E146" s="27"/>
      <c r="F146" s="27"/>
      <c r="G146" s="27"/>
      <c r="H146" s="27"/>
      <c r="I146" s="27"/>
      <c r="J146" s="27"/>
      <c r="K146" s="27"/>
      <c r="L146" s="27"/>
      <c r="M146" s="27"/>
      <c r="N146" s="27"/>
      <c r="O146" s="27"/>
      <c r="P146" s="27"/>
      <c r="Q146" s="27"/>
      <c r="R146" s="27"/>
    </row>
    <row r="147" spans="1:18" x14ac:dyDescent="0.25">
      <c r="A147" s="27"/>
      <c r="B147" s="27"/>
      <c r="C147" s="27"/>
      <c r="D147" s="27"/>
      <c r="E147" s="27"/>
      <c r="F147" s="27"/>
      <c r="G147" s="27"/>
      <c r="H147" s="27"/>
      <c r="I147" s="27"/>
      <c r="J147" s="27"/>
      <c r="K147" s="27"/>
      <c r="L147" s="27"/>
      <c r="M147" s="27"/>
      <c r="N147" s="27"/>
      <c r="O147" s="27"/>
      <c r="P147" s="27"/>
      <c r="Q147" s="27"/>
      <c r="R147" s="27"/>
    </row>
    <row r="148" spans="1:18" x14ac:dyDescent="0.25">
      <c r="A148" s="27"/>
      <c r="B148" s="27"/>
      <c r="C148" s="27"/>
      <c r="D148" s="27"/>
      <c r="E148" s="27"/>
      <c r="F148" s="27"/>
      <c r="G148" s="27"/>
      <c r="H148" s="27"/>
      <c r="I148" s="27"/>
      <c r="J148" s="27"/>
      <c r="K148" s="27"/>
      <c r="L148" s="27"/>
      <c r="M148" s="27"/>
      <c r="N148" s="27"/>
      <c r="O148" s="27"/>
      <c r="P148" s="27"/>
      <c r="Q148" s="27"/>
      <c r="R148" s="27"/>
    </row>
    <row r="149" spans="1:18" x14ac:dyDescent="0.25">
      <c r="A149" s="27"/>
      <c r="B149" s="27"/>
      <c r="C149" s="27"/>
      <c r="D149" s="27"/>
      <c r="E149" s="27"/>
      <c r="F149" s="27"/>
      <c r="G149" s="27"/>
      <c r="H149" s="27"/>
      <c r="I149" s="27"/>
      <c r="J149" s="27"/>
      <c r="K149" s="27"/>
      <c r="L149" s="27"/>
      <c r="M149" s="27"/>
      <c r="N149" s="27"/>
      <c r="O149" s="27"/>
      <c r="P149" s="27"/>
      <c r="Q149" s="27"/>
      <c r="R149" s="27"/>
    </row>
    <row r="150" spans="1:18" x14ac:dyDescent="0.25">
      <c r="A150" s="27"/>
      <c r="B150" s="27"/>
      <c r="C150" s="27"/>
      <c r="D150" s="27"/>
      <c r="E150" s="27"/>
      <c r="F150" s="27"/>
      <c r="G150" s="27"/>
      <c r="H150" s="27"/>
      <c r="I150" s="27"/>
      <c r="J150" s="27"/>
      <c r="K150" s="27"/>
      <c r="L150" s="27"/>
      <c r="M150" s="27"/>
      <c r="N150" s="27"/>
      <c r="O150" s="27"/>
      <c r="P150" s="27"/>
      <c r="Q150" s="27"/>
      <c r="R150" s="27"/>
    </row>
    <row r="151" spans="1:18" x14ac:dyDescent="0.25">
      <c r="A151" s="27"/>
      <c r="B151" s="27"/>
      <c r="C151" s="27"/>
      <c r="D151" s="27"/>
      <c r="E151" s="27"/>
      <c r="F151" s="27"/>
      <c r="G151" s="27"/>
      <c r="H151" s="27"/>
      <c r="I151" s="27"/>
      <c r="J151" s="27"/>
      <c r="K151" s="27"/>
      <c r="L151" s="27"/>
      <c r="M151" s="27"/>
      <c r="N151" s="27"/>
      <c r="O151" s="27"/>
      <c r="P151" s="27"/>
      <c r="Q151" s="27"/>
      <c r="R151" s="27"/>
    </row>
    <row r="152" spans="1:18" x14ac:dyDescent="0.25">
      <c r="A152" s="27"/>
      <c r="B152" s="27"/>
      <c r="C152" s="27"/>
      <c r="D152" s="27"/>
      <c r="E152" s="27"/>
      <c r="F152" s="27"/>
      <c r="G152" s="27"/>
      <c r="H152" s="27"/>
      <c r="I152" s="27"/>
      <c r="J152" s="27"/>
      <c r="K152" s="27"/>
      <c r="L152" s="27"/>
      <c r="M152" s="27"/>
      <c r="N152" s="27"/>
      <c r="O152" s="27"/>
      <c r="P152" s="27"/>
      <c r="Q152" s="27"/>
      <c r="R152" s="27"/>
    </row>
    <row r="153" spans="1:18" x14ac:dyDescent="0.25">
      <c r="A153" s="27"/>
      <c r="B153" s="27"/>
      <c r="C153" s="27"/>
      <c r="D153" s="27"/>
      <c r="E153" s="27"/>
      <c r="F153" s="27"/>
      <c r="G153" s="27"/>
      <c r="H153" s="27"/>
      <c r="I153" s="27"/>
      <c r="J153" s="27"/>
      <c r="K153" s="27"/>
      <c r="L153" s="27"/>
      <c r="M153" s="27"/>
      <c r="N153" s="27"/>
      <c r="O153" s="27"/>
      <c r="P153" s="27"/>
      <c r="Q153" s="27"/>
      <c r="R153" s="27"/>
    </row>
    <row r="154" spans="1:18" x14ac:dyDescent="0.25">
      <c r="A154" s="27"/>
      <c r="B154" s="27"/>
      <c r="C154" s="27"/>
      <c r="D154" s="27"/>
      <c r="E154" s="27"/>
      <c r="F154" s="27"/>
      <c r="G154" s="27"/>
      <c r="H154" s="27"/>
      <c r="I154" s="27"/>
      <c r="J154" s="27"/>
      <c r="K154" s="27"/>
      <c r="L154" s="27"/>
      <c r="M154" s="27"/>
      <c r="N154" s="27"/>
      <c r="O154" s="27"/>
      <c r="P154" s="27"/>
      <c r="Q154" s="27"/>
      <c r="R154" s="27"/>
    </row>
    <row r="155" spans="1:18" x14ac:dyDescent="0.25">
      <c r="A155" s="27"/>
      <c r="B155" s="27"/>
      <c r="C155" s="27"/>
      <c r="D155" s="27"/>
      <c r="E155" s="27"/>
      <c r="F155" s="27"/>
      <c r="G155" s="27"/>
      <c r="H155" s="27"/>
      <c r="I155" s="27"/>
      <c r="J155" s="27"/>
      <c r="K155" s="27"/>
      <c r="L155" s="27"/>
      <c r="M155" s="27"/>
      <c r="N155" s="27"/>
      <c r="O155" s="27"/>
      <c r="P155" s="27"/>
      <c r="Q155" s="27"/>
      <c r="R155" s="27"/>
    </row>
    <row r="156" spans="1:18" x14ac:dyDescent="0.25">
      <c r="A156" s="27"/>
      <c r="B156" s="27"/>
      <c r="C156" s="27"/>
      <c r="D156" s="27"/>
      <c r="E156" s="27"/>
      <c r="F156" s="27"/>
      <c r="G156" s="27"/>
      <c r="H156" s="27"/>
      <c r="I156" s="27"/>
      <c r="J156" s="27"/>
      <c r="K156" s="27"/>
      <c r="L156" s="27"/>
      <c r="M156" s="27"/>
      <c r="N156" s="27"/>
      <c r="O156" s="27"/>
      <c r="P156" s="27"/>
      <c r="Q156" s="27"/>
      <c r="R156" s="27"/>
    </row>
    <row r="157" spans="1:18" x14ac:dyDescent="0.25">
      <c r="A157" s="27"/>
      <c r="B157" s="27"/>
      <c r="C157" s="27"/>
      <c r="D157" s="27"/>
      <c r="E157" s="27"/>
      <c r="F157" s="27"/>
      <c r="G157" s="27"/>
      <c r="H157" s="27"/>
      <c r="I157" s="27"/>
      <c r="J157" s="27"/>
      <c r="K157" s="27"/>
      <c r="L157" s="27"/>
      <c r="M157" s="27"/>
      <c r="N157" s="27"/>
      <c r="O157" s="27"/>
      <c r="P157" s="27"/>
      <c r="Q157" s="27"/>
      <c r="R157" s="27"/>
    </row>
    <row r="158" spans="1:18" x14ac:dyDescent="0.25">
      <c r="A158" s="27"/>
      <c r="B158" s="27"/>
      <c r="C158" s="27"/>
      <c r="D158" s="27"/>
      <c r="E158" s="27"/>
      <c r="F158" s="27"/>
      <c r="G158" s="27"/>
      <c r="H158" s="27"/>
      <c r="I158" s="27"/>
      <c r="J158" s="27"/>
      <c r="K158" s="27"/>
      <c r="L158" s="27"/>
      <c r="M158" s="27"/>
      <c r="N158" s="27"/>
      <c r="O158" s="27"/>
      <c r="P158" s="27"/>
      <c r="Q158" s="27"/>
      <c r="R158" s="27"/>
    </row>
    <row r="159" spans="1:18" x14ac:dyDescent="0.25">
      <c r="A159" s="27"/>
      <c r="B159" s="27"/>
      <c r="C159" s="27"/>
      <c r="D159" s="27"/>
      <c r="E159" s="27"/>
      <c r="F159" s="27"/>
      <c r="G159" s="27"/>
      <c r="H159" s="27"/>
      <c r="I159" s="27"/>
      <c r="J159" s="27"/>
      <c r="K159" s="27"/>
      <c r="L159" s="27"/>
      <c r="M159" s="27"/>
      <c r="N159" s="27"/>
      <c r="O159" s="27"/>
      <c r="P159" s="27"/>
      <c r="Q159" s="27"/>
      <c r="R159" s="27"/>
    </row>
    <row r="160" spans="1:18" x14ac:dyDescent="0.25">
      <c r="A160" s="27"/>
      <c r="B160" s="27"/>
      <c r="C160" s="27"/>
      <c r="D160" s="27"/>
      <c r="E160" s="27"/>
      <c r="F160" s="27"/>
      <c r="G160" s="27"/>
      <c r="H160" s="27"/>
      <c r="I160" s="27"/>
      <c r="J160" s="27"/>
      <c r="K160" s="27"/>
      <c r="L160" s="27"/>
      <c r="M160" s="27"/>
      <c r="N160" s="27"/>
      <c r="O160" s="27"/>
      <c r="P160" s="27"/>
      <c r="Q160" s="27"/>
      <c r="R160" s="27"/>
    </row>
    <row r="161" spans="1:18" x14ac:dyDescent="0.25">
      <c r="A161" s="27"/>
      <c r="B161" s="27"/>
      <c r="C161" s="27"/>
      <c r="D161" s="27"/>
      <c r="E161" s="27"/>
      <c r="F161" s="27"/>
      <c r="G161" s="27"/>
      <c r="H161" s="27"/>
      <c r="I161" s="27"/>
      <c r="J161" s="27"/>
      <c r="K161" s="27"/>
      <c r="L161" s="27"/>
      <c r="M161" s="27"/>
      <c r="N161" s="27"/>
      <c r="O161" s="27"/>
      <c r="P161" s="27"/>
      <c r="Q161" s="27"/>
      <c r="R161" s="27"/>
    </row>
    <row r="162" spans="1:18" x14ac:dyDescent="0.25">
      <c r="A162" s="27"/>
      <c r="B162" s="27"/>
      <c r="C162" s="27"/>
      <c r="D162" s="27"/>
      <c r="E162" s="27"/>
      <c r="F162" s="27"/>
      <c r="G162" s="27"/>
      <c r="H162" s="27"/>
      <c r="I162" s="27"/>
      <c r="J162" s="27"/>
      <c r="K162" s="27"/>
      <c r="L162" s="27"/>
      <c r="M162" s="27"/>
      <c r="N162" s="27"/>
      <c r="O162" s="27"/>
      <c r="P162" s="27"/>
      <c r="Q162" s="27"/>
      <c r="R162" s="27"/>
    </row>
    <row r="163" spans="1:18" x14ac:dyDescent="0.25">
      <c r="A163" s="27"/>
      <c r="B163" s="27"/>
      <c r="C163" s="27"/>
      <c r="D163" s="27"/>
      <c r="E163" s="27"/>
      <c r="F163" s="27"/>
      <c r="G163" s="27"/>
      <c r="H163" s="27"/>
      <c r="I163" s="27"/>
      <c r="J163" s="27"/>
      <c r="K163" s="27"/>
      <c r="L163" s="27"/>
      <c r="M163" s="27"/>
      <c r="N163" s="27"/>
      <c r="O163" s="27"/>
      <c r="P163" s="27"/>
      <c r="Q163" s="27"/>
      <c r="R163" s="27"/>
    </row>
    <row r="164" spans="1:18" x14ac:dyDescent="0.25">
      <c r="A164" s="27"/>
      <c r="B164" s="27"/>
      <c r="C164" s="27"/>
      <c r="D164" s="27"/>
      <c r="E164" s="27"/>
      <c r="F164" s="27"/>
      <c r="G164" s="27"/>
      <c r="H164" s="27"/>
      <c r="I164" s="27"/>
      <c r="J164" s="27"/>
      <c r="K164" s="27"/>
      <c r="L164" s="27"/>
      <c r="M164" s="27"/>
      <c r="N164" s="27"/>
      <c r="O164" s="27"/>
      <c r="P164" s="27"/>
      <c r="Q164" s="27"/>
      <c r="R164" s="27"/>
    </row>
    <row r="165" spans="1:18" x14ac:dyDescent="0.25">
      <c r="A165" s="27"/>
      <c r="B165" s="27"/>
      <c r="C165" s="27"/>
      <c r="D165" s="27"/>
      <c r="E165" s="27"/>
      <c r="F165" s="27"/>
      <c r="G165" s="27"/>
      <c r="H165" s="27"/>
      <c r="I165" s="27"/>
      <c r="J165" s="27"/>
      <c r="K165" s="27"/>
      <c r="L165" s="27"/>
      <c r="M165" s="27"/>
      <c r="N165" s="27"/>
      <c r="O165" s="27"/>
      <c r="P165" s="27"/>
      <c r="Q165" s="27"/>
      <c r="R165" s="27"/>
    </row>
    <row r="166" spans="1:18" x14ac:dyDescent="0.25">
      <c r="A166" s="27"/>
      <c r="B166" s="27"/>
      <c r="C166" s="27"/>
      <c r="D166" s="27"/>
      <c r="E166" s="27"/>
      <c r="F166" s="27"/>
      <c r="G166" s="27"/>
      <c r="H166" s="27"/>
      <c r="I166" s="27"/>
      <c r="J166" s="27"/>
      <c r="K166" s="27"/>
      <c r="L166" s="27"/>
      <c r="M166" s="27"/>
      <c r="N166" s="27"/>
      <c r="O166" s="27"/>
      <c r="P166" s="27"/>
      <c r="Q166" s="27"/>
      <c r="R166" s="27"/>
    </row>
    <row r="167" spans="1:18" x14ac:dyDescent="0.25">
      <c r="A167" s="27"/>
      <c r="B167" s="27"/>
      <c r="C167" s="27"/>
      <c r="D167" s="27"/>
      <c r="E167" s="27"/>
      <c r="F167" s="27"/>
      <c r="G167" s="27"/>
      <c r="H167" s="27"/>
      <c r="I167" s="27"/>
      <c r="J167" s="27"/>
      <c r="K167" s="27"/>
      <c r="L167" s="27"/>
      <c r="M167" s="27"/>
      <c r="N167" s="27"/>
      <c r="O167" s="27"/>
      <c r="P167" s="27"/>
      <c r="Q167" s="27"/>
      <c r="R167" s="27"/>
    </row>
    <row r="168" spans="1:18" x14ac:dyDescent="0.25">
      <c r="A168" s="27"/>
      <c r="B168" s="27"/>
      <c r="C168" s="27"/>
      <c r="D168" s="27"/>
      <c r="E168" s="27"/>
      <c r="F168" s="27"/>
      <c r="G168" s="27"/>
      <c r="H168" s="27"/>
      <c r="I168" s="27"/>
      <c r="J168" s="27"/>
      <c r="K168" s="27"/>
      <c r="L168" s="27"/>
      <c r="M168" s="27"/>
      <c r="N168" s="27"/>
      <c r="O168" s="27"/>
      <c r="P168" s="27"/>
      <c r="Q168" s="27"/>
      <c r="R168" s="27"/>
    </row>
    <row r="169" spans="1:18" x14ac:dyDescent="0.25">
      <c r="A169" s="27"/>
      <c r="B169" s="27"/>
      <c r="C169" s="27"/>
      <c r="D169" s="27"/>
      <c r="E169" s="27"/>
      <c r="F169" s="27"/>
      <c r="G169" s="27"/>
      <c r="H169" s="27"/>
      <c r="I169" s="27"/>
      <c r="J169" s="27"/>
      <c r="K169" s="27"/>
      <c r="L169" s="27"/>
      <c r="M169" s="27"/>
      <c r="N169" s="27"/>
      <c r="O169" s="27"/>
      <c r="P169" s="27"/>
      <c r="Q169" s="27"/>
      <c r="R169" s="27"/>
    </row>
    <row r="170" spans="1:18" x14ac:dyDescent="0.25">
      <c r="A170" s="27"/>
      <c r="B170" s="27"/>
      <c r="C170" s="27"/>
      <c r="D170" s="27"/>
      <c r="E170" s="27"/>
      <c r="F170" s="27"/>
      <c r="G170" s="27"/>
      <c r="H170" s="27"/>
      <c r="I170" s="27"/>
      <c r="J170" s="27"/>
      <c r="K170" s="27"/>
      <c r="L170" s="27"/>
      <c r="M170" s="27"/>
      <c r="N170" s="27"/>
      <c r="O170" s="27"/>
      <c r="P170" s="27"/>
      <c r="Q170" s="27"/>
      <c r="R170" s="27"/>
    </row>
    <row r="171" spans="1:18" x14ac:dyDescent="0.25">
      <c r="A171" s="27"/>
      <c r="B171" s="27"/>
      <c r="C171" s="27"/>
      <c r="D171" s="27"/>
      <c r="E171" s="27"/>
      <c r="F171" s="27"/>
      <c r="G171" s="27"/>
      <c r="H171" s="27"/>
      <c r="I171" s="27"/>
      <c r="J171" s="27"/>
      <c r="K171" s="27"/>
      <c r="L171" s="27"/>
      <c r="M171" s="27"/>
      <c r="N171" s="27"/>
      <c r="O171" s="27"/>
      <c r="P171" s="27"/>
      <c r="Q171" s="27"/>
      <c r="R171" s="27"/>
    </row>
    <row r="172" spans="1:18" x14ac:dyDescent="0.25">
      <c r="A172" s="27"/>
      <c r="B172" s="27"/>
      <c r="C172" s="27"/>
      <c r="D172" s="27"/>
      <c r="E172" s="27"/>
      <c r="F172" s="27"/>
      <c r="G172" s="27"/>
      <c r="H172" s="27"/>
      <c r="I172" s="27"/>
      <c r="J172" s="27"/>
      <c r="K172" s="27"/>
      <c r="L172" s="27"/>
      <c r="M172" s="27"/>
      <c r="N172" s="27"/>
      <c r="O172" s="27"/>
      <c r="P172" s="27"/>
      <c r="Q172" s="27"/>
      <c r="R172" s="27"/>
    </row>
    <row r="173" spans="1:18" x14ac:dyDescent="0.25">
      <c r="A173" s="27"/>
      <c r="B173" s="27"/>
      <c r="C173" s="27"/>
      <c r="D173" s="27"/>
      <c r="E173" s="27"/>
      <c r="F173" s="27"/>
      <c r="G173" s="27"/>
      <c r="H173" s="27"/>
      <c r="I173" s="27"/>
      <c r="J173" s="27"/>
      <c r="K173" s="27"/>
      <c r="L173" s="27"/>
      <c r="M173" s="27"/>
      <c r="N173" s="27"/>
      <c r="O173" s="27"/>
      <c r="P173" s="27"/>
      <c r="Q173" s="27"/>
      <c r="R173" s="27"/>
    </row>
    <row r="174" spans="1:18" x14ac:dyDescent="0.25">
      <c r="A174" s="27"/>
      <c r="B174" s="27"/>
      <c r="C174" s="27"/>
      <c r="D174" s="27"/>
      <c r="E174" s="27"/>
      <c r="F174" s="27"/>
      <c r="G174" s="27"/>
      <c r="H174" s="27"/>
      <c r="I174" s="27"/>
      <c r="J174" s="27"/>
      <c r="K174" s="27"/>
      <c r="L174" s="27"/>
      <c r="M174" s="27"/>
      <c r="N174" s="27"/>
      <c r="O174" s="27"/>
      <c r="P174" s="27"/>
      <c r="Q174" s="27"/>
      <c r="R174" s="27"/>
    </row>
    <row r="175" spans="1:18" x14ac:dyDescent="0.25">
      <c r="A175" s="27"/>
      <c r="B175" s="27"/>
      <c r="C175" s="27"/>
      <c r="D175" s="27"/>
      <c r="E175" s="27"/>
      <c r="F175" s="27"/>
      <c r="G175" s="27"/>
      <c r="H175" s="27"/>
      <c r="I175" s="27"/>
      <c r="J175" s="27"/>
      <c r="K175" s="27"/>
      <c r="L175" s="27"/>
      <c r="M175" s="27"/>
      <c r="N175" s="27"/>
      <c r="O175" s="27"/>
      <c r="P175" s="27"/>
      <c r="Q175" s="27"/>
      <c r="R175" s="27"/>
    </row>
    <row r="176" spans="1:18" x14ac:dyDescent="0.25">
      <c r="A176" s="27"/>
      <c r="B176" s="27"/>
      <c r="C176" s="27"/>
      <c r="D176" s="27"/>
      <c r="E176" s="27"/>
      <c r="F176" s="27"/>
      <c r="G176" s="27"/>
      <c r="H176" s="27"/>
      <c r="I176" s="27"/>
      <c r="J176" s="27"/>
      <c r="K176" s="27"/>
      <c r="L176" s="27"/>
      <c r="M176" s="27"/>
      <c r="N176" s="27"/>
      <c r="O176" s="27"/>
      <c r="P176" s="27"/>
      <c r="Q176" s="27"/>
      <c r="R176" s="27"/>
    </row>
    <row r="177" spans="1:18" x14ac:dyDescent="0.25">
      <c r="A177" s="27"/>
      <c r="B177" s="27"/>
      <c r="C177" s="27"/>
      <c r="D177" s="27"/>
      <c r="E177" s="27"/>
      <c r="F177" s="27"/>
      <c r="G177" s="27"/>
      <c r="H177" s="27"/>
      <c r="I177" s="27"/>
      <c r="J177" s="27"/>
      <c r="K177" s="27"/>
      <c r="L177" s="27"/>
      <c r="M177" s="27"/>
      <c r="N177" s="27"/>
      <c r="O177" s="27"/>
      <c r="P177" s="27"/>
      <c r="Q177" s="27"/>
      <c r="R177" s="27"/>
    </row>
    <row r="178" spans="1:18" x14ac:dyDescent="0.25">
      <c r="A178" s="27"/>
      <c r="B178" s="27"/>
      <c r="C178" s="27"/>
      <c r="D178" s="27"/>
      <c r="E178" s="27"/>
      <c r="F178" s="27"/>
      <c r="G178" s="27"/>
      <c r="H178" s="27"/>
      <c r="I178" s="27"/>
      <c r="J178" s="27"/>
      <c r="K178" s="27"/>
      <c r="L178" s="27"/>
      <c r="M178" s="27"/>
      <c r="N178" s="27"/>
      <c r="O178" s="27"/>
      <c r="P178" s="27"/>
      <c r="Q178" s="27"/>
      <c r="R178" s="27"/>
    </row>
    <row r="179" spans="1:18" x14ac:dyDescent="0.25">
      <c r="A179" s="27"/>
      <c r="B179" s="27"/>
      <c r="C179" s="27"/>
      <c r="D179" s="27"/>
      <c r="E179" s="27"/>
      <c r="F179" s="27"/>
      <c r="G179" s="27"/>
      <c r="H179" s="27"/>
      <c r="I179" s="27"/>
      <c r="J179" s="27"/>
      <c r="K179" s="27"/>
      <c r="L179" s="27"/>
      <c r="M179" s="27"/>
      <c r="N179" s="27"/>
      <c r="O179" s="27"/>
      <c r="P179" s="27"/>
      <c r="Q179" s="27"/>
      <c r="R179" s="27"/>
    </row>
    <row r="180" spans="1:18" x14ac:dyDescent="0.25">
      <c r="A180" s="27"/>
      <c r="B180" s="27"/>
      <c r="C180" s="27"/>
      <c r="D180" s="27"/>
      <c r="E180" s="27"/>
      <c r="F180" s="27"/>
      <c r="G180" s="27"/>
      <c r="H180" s="27"/>
      <c r="I180" s="27"/>
      <c r="J180" s="27"/>
      <c r="K180" s="27"/>
      <c r="L180" s="27"/>
      <c r="M180" s="27"/>
      <c r="N180" s="27"/>
      <c r="O180" s="27"/>
      <c r="P180" s="27"/>
      <c r="Q180" s="27"/>
      <c r="R180" s="27"/>
    </row>
    <row r="181" spans="1:18" x14ac:dyDescent="0.25">
      <c r="A181" s="27"/>
      <c r="B181" s="27"/>
      <c r="C181" s="27"/>
      <c r="D181" s="27"/>
      <c r="E181" s="27"/>
      <c r="F181" s="27"/>
      <c r="G181" s="27"/>
      <c r="H181" s="27"/>
      <c r="I181" s="27"/>
      <c r="J181" s="27"/>
      <c r="K181" s="27"/>
      <c r="L181" s="27"/>
      <c r="M181" s="27"/>
      <c r="N181" s="27"/>
      <c r="O181" s="27"/>
      <c r="P181" s="27"/>
      <c r="Q181" s="27"/>
      <c r="R181" s="27"/>
    </row>
    <row r="182" spans="1:18" x14ac:dyDescent="0.25">
      <c r="A182" s="27"/>
      <c r="B182" s="27"/>
      <c r="C182" s="27"/>
      <c r="D182" s="27"/>
      <c r="E182" s="27"/>
      <c r="F182" s="27"/>
      <c r="G182" s="27"/>
      <c r="H182" s="27"/>
      <c r="I182" s="27"/>
      <c r="J182" s="27"/>
      <c r="K182" s="27"/>
      <c r="L182" s="27"/>
      <c r="M182" s="27"/>
      <c r="N182" s="27"/>
      <c r="O182" s="27"/>
      <c r="P182" s="27"/>
      <c r="Q182" s="27"/>
      <c r="R182" s="27"/>
    </row>
    <row r="183" spans="1:18" x14ac:dyDescent="0.25">
      <c r="A183" s="27"/>
      <c r="B183" s="27"/>
      <c r="C183" s="27"/>
      <c r="D183" s="27"/>
      <c r="E183" s="27"/>
      <c r="F183" s="27"/>
      <c r="G183" s="27"/>
      <c r="H183" s="27"/>
      <c r="I183" s="27"/>
      <c r="J183" s="27"/>
      <c r="K183" s="27"/>
      <c r="L183" s="27"/>
      <c r="M183" s="27"/>
      <c r="N183" s="27"/>
      <c r="O183" s="27"/>
      <c r="P183" s="27"/>
      <c r="Q183" s="27"/>
      <c r="R183" s="27"/>
    </row>
    <row r="184" spans="1:18" x14ac:dyDescent="0.25">
      <c r="A184" s="27"/>
      <c r="B184" s="27"/>
      <c r="C184" s="27"/>
      <c r="D184" s="27"/>
      <c r="E184" s="27"/>
      <c r="F184" s="27"/>
      <c r="G184" s="27"/>
      <c r="H184" s="27"/>
      <c r="I184" s="27"/>
      <c r="J184" s="27"/>
      <c r="K184" s="27"/>
      <c r="L184" s="27"/>
      <c r="M184" s="27"/>
      <c r="N184" s="27"/>
      <c r="O184" s="27"/>
      <c r="P184" s="27"/>
      <c r="Q184" s="27"/>
      <c r="R184" s="27"/>
    </row>
    <row r="185" spans="1:18" x14ac:dyDescent="0.25">
      <c r="A185" s="27"/>
      <c r="B185" s="27"/>
      <c r="C185" s="27"/>
      <c r="D185" s="27"/>
      <c r="E185" s="27"/>
      <c r="F185" s="27"/>
      <c r="G185" s="27"/>
      <c r="H185" s="27"/>
      <c r="I185" s="27"/>
      <c r="J185" s="27"/>
      <c r="K185" s="27"/>
      <c r="L185" s="27"/>
      <c r="M185" s="27"/>
      <c r="N185" s="27"/>
      <c r="O185" s="27"/>
      <c r="P185" s="27"/>
      <c r="Q185" s="27"/>
      <c r="R185" s="27"/>
    </row>
    <row r="186" spans="1:18" x14ac:dyDescent="0.25">
      <c r="A186" s="27"/>
      <c r="B186" s="27"/>
      <c r="C186" s="27"/>
      <c r="D186" s="27"/>
      <c r="E186" s="27"/>
      <c r="F186" s="27"/>
      <c r="G186" s="27"/>
      <c r="H186" s="27"/>
      <c r="I186" s="27"/>
      <c r="J186" s="27"/>
      <c r="K186" s="27"/>
      <c r="L186" s="27"/>
      <c r="M186" s="27"/>
      <c r="N186" s="27"/>
      <c r="O186" s="27"/>
      <c r="P186" s="27"/>
      <c r="Q186" s="27"/>
      <c r="R186" s="27"/>
    </row>
    <row r="187" spans="1:18" x14ac:dyDescent="0.25">
      <c r="A187" s="27"/>
      <c r="B187" s="27"/>
      <c r="C187" s="27"/>
      <c r="D187" s="27"/>
      <c r="E187" s="27"/>
      <c r="F187" s="27"/>
      <c r="G187" s="27"/>
      <c r="H187" s="27"/>
      <c r="I187" s="27"/>
      <c r="J187" s="27"/>
      <c r="K187" s="27"/>
      <c r="L187" s="27"/>
      <c r="M187" s="27"/>
      <c r="N187" s="27"/>
      <c r="O187" s="27"/>
      <c r="P187" s="27"/>
      <c r="Q187" s="27"/>
      <c r="R187" s="27"/>
    </row>
    <row r="188" spans="1:18" x14ac:dyDescent="0.25">
      <c r="A188" s="27"/>
      <c r="B188" s="27"/>
      <c r="C188" s="27"/>
      <c r="D188" s="27"/>
      <c r="E188" s="27"/>
      <c r="F188" s="27"/>
      <c r="G188" s="27"/>
      <c r="H188" s="27"/>
      <c r="I188" s="27"/>
      <c r="J188" s="27"/>
      <c r="K188" s="27"/>
      <c r="L188" s="27"/>
      <c r="M188" s="27"/>
      <c r="N188" s="27"/>
      <c r="O188" s="27"/>
      <c r="P188" s="27"/>
      <c r="Q188" s="27"/>
      <c r="R188" s="27"/>
    </row>
    <row r="189" spans="1:18" x14ac:dyDescent="0.25">
      <c r="A189" s="27"/>
      <c r="B189" s="27"/>
      <c r="C189" s="27"/>
      <c r="D189" s="27"/>
      <c r="E189" s="27"/>
      <c r="F189" s="27"/>
      <c r="G189" s="27"/>
      <c r="H189" s="27"/>
      <c r="I189" s="27"/>
      <c r="J189" s="27"/>
      <c r="K189" s="27"/>
      <c r="L189" s="27"/>
      <c r="M189" s="27"/>
      <c r="N189" s="27"/>
      <c r="O189" s="27"/>
      <c r="P189" s="27"/>
      <c r="Q189" s="27"/>
      <c r="R189" s="27"/>
    </row>
    <row r="190" spans="1:18" x14ac:dyDescent="0.25">
      <c r="A190" s="27"/>
      <c r="B190" s="27"/>
      <c r="C190" s="27"/>
      <c r="D190" s="27"/>
      <c r="E190" s="27"/>
      <c r="F190" s="27"/>
      <c r="G190" s="27"/>
      <c r="H190" s="27"/>
      <c r="I190" s="27"/>
      <c r="J190" s="27"/>
      <c r="K190" s="27"/>
      <c r="L190" s="27"/>
      <c r="M190" s="27"/>
      <c r="N190" s="27"/>
      <c r="O190" s="27"/>
      <c r="P190" s="27"/>
      <c r="Q190" s="27"/>
      <c r="R190" s="27"/>
    </row>
    <row r="191" spans="1:18" x14ac:dyDescent="0.25">
      <c r="A191" s="27"/>
      <c r="B191" s="27"/>
      <c r="C191" s="27"/>
      <c r="D191" s="27"/>
      <c r="E191" s="27"/>
      <c r="F191" s="27"/>
      <c r="G191" s="27"/>
      <c r="H191" s="27"/>
      <c r="I191" s="27"/>
      <c r="J191" s="27"/>
      <c r="K191" s="27"/>
      <c r="L191" s="27"/>
      <c r="M191" s="27"/>
      <c r="N191" s="27"/>
      <c r="O191" s="27"/>
      <c r="P191" s="27"/>
      <c r="Q191" s="27"/>
      <c r="R191" s="27"/>
    </row>
    <row r="192" spans="1:18" x14ac:dyDescent="0.25">
      <c r="A192" s="27"/>
      <c r="B192" s="27"/>
      <c r="C192" s="27"/>
      <c r="D192" s="27"/>
      <c r="E192" s="27"/>
      <c r="F192" s="27"/>
      <c r="G192" s="27"/>
      <c r="H192" s="27"/>
      <c r="I192" s="27"/>
      <c r="J192" s="27"/>
      <c r="K192" s="27"/>
      <c r="L192" s="27"/>
      <c r="M192" s="27"/>
      <c r="N192" s="27"/>
      <c r="O192" s="27"/>
      <c r="P192" s="27"/>
      <c r="Q192" s="27"/>
      <c r="R192" s="27"/>
    </row>
    <row r="193" spans="1:18" x14ac:dyDescent="0.25">
      <c r="A193" s="27"/>
      <c r="B193" s="27"/>
      <c r="C193" s="27"/>
      <c r="D193" s="27"/>
      <c r="E193" s="27"/>
      <c r="F193" s="27"/>
      <c r="G193" s="27"/>
      <c r="H193" s="27"/>
      <c r="I193" s="27"/>
      <c r="J193" s="27"/>
      <c r="K193" s="27"/>
      <c r="L193" s="27"/>
      <c r="M193" s="27"/>
      <c r="N193" s="27"/>
      <c r="O193" s="27"/>
      <c r="P193" s="27"/>
      <c r="Q193" s="27"/>
      <c r="R193" s="27"/>
    </row>
    <row r="194" spans="1:18" x14ac:dyDescent="0.25">
      <c r="A194" s="27"/>
      <c r="B194" s="27"/>
      <c r="C194" s="27"/>
      <c r="D194" s="27"/>
      <c r="E194" s="27"/>
      <c r="F194" s="27"/>
      <c r="G194" s="27"/>
      <c r="H194" s="27"/>
      <c r="I194" s="27"/>
      <c r="J194" s="27"/>
      <c r="K194" s="27"/>
      <c r="L194" s="27"/>
      <c r="M194" s="27"/>
      <c r="N194" s="27"/>
      <c r="O194" s="27"/>
      <c r="P194" s="27"/>
      <c r="Q194" s="27"/>
      <c r="R194" s="27"/>
    </row>
    <row r="195" spans="1:18" x14ac:dyDescent="0.25">
      <c r="A195" s="27"/>
      <c r="B195" s="27"/>
      <c r="C195" s="27"/>
      <c r="D195" s="27"/>
      <c r="E195" s="27"/>
      <c r="F195" s="27"/>
      <c r="G195" s="27"/>
      <c r="H195" s="27"/>
      <c r="I195" s="27"/>
      <c r="J195" s="27"/>
      <c r="K195" s="27"/>
      <c r="L195" s="27"/>
      <c r="M195" s="27"/>
      <c r="N195" s="27"/>
      <c r="O195" s="27"/>
      <c r="P195" s="27"/>
      <c r="Q195" s="27"/>
      <c r="R195" s="27"/>
    </row>
    <row r="196" spans="1:18" x14ac:dyDescent="0.25">
      <c r="A196" s="27"/>
      <c r="B196" s="27"/>
      <c r="C196" s="27"/>
      <c r="D196" s="27"/>
      <c r="E196" s="27"/>
      <c r="F196" s="27"/>
      <c r="G196" s="27"/>
      <c r="H196" s="27"/>
      <c r="I196" s="27"/>
      <c r="J196" s="27"/>
      <c r="K196" s="27"/>
      <c r="L196" s="27"/>
      <c r="M196" s="27"/>
      <c r="N196" s="27"/>
      <c r="O196" s="27"/>
      <c r="P196" s="27"/>
      <c r="Q196" s="27"/>
      <c r="R196" s="27"/>
    </row>
    <row r="197" spans="1:18" x14ac:dyDescent="0.25">
      <c r="A197" s="27"/>
      <c r="B197" s="27"/>
      <c r="C197" s="27"/>
      <c r="D197" s="27"/>
      <c r="E197" s="27"/>
      <c r="F197" s="27"/>
      <c r="G197" s="27"/>
      <c r="H197" s="27"/>
      <c r="I197" s="27"/>
      <c r="J197" s="27"/>
      <c r="K197" s="27"/>
      <c r="L197" s="27"/>
      <c r="M197" s="27"/>
      <c r="N197" s="27"/>
      <c r="O197" s="27"/>
      <c r="P197" s="27"/>
      <c r="Q197" s="27"/>
      <c r="R197" s="27"/>
    </row>
    <row r="198" spans="1:18" x14ac:dyDescent="0.25">
      <c r="A198" s="27"/>
      <c r="B198" s="27"/>
      <c r="C198" s="27"/>
      <c r="D198" s="27"/>
      <c r="E198" s="27"/>
      <c r="F198" s="27"/>
      <c r="G198" s="27"/>
      <c r="H198" s="27"/>
      <c r="I198" s="27"/>
      <c r="J198" s="27"/>
      <c r="K198" s="27"/>
      <c r="L198" s="27"/>
      <c r="M198" s="27"/>
      <c r="N198" s="27"/>
      <c r="O198" s="27"/>
      <c r="P198" s="27"/>
      <c r="Q198" s="27"/>
      <c r="R198" s="27"/>
    </row>
    <row r="199" spans="1:18" x14ac:dyDescent="0.25">
      <c r="A199" s="27"/>
      <c r="B199" s="27"/>
      <c r="C199" s="27"/>
      <c r="D199" s="27"/>
      <c r="E199" s="27"/>
      <c r="F199" s="27"/>
      <c r="G199" s="27"/>
      <c r="H199" s="27"/>
      <c r="I199" s="27"/>
      <c r="J199" s="27"/>
      <c r="K199" s="27"/>
      <c r="L199" s="27"/>
      <c r="M199" s="27"/>
      <c r="N199" s="27"/>
      <c r="O199" s="27"/>
      <c r="P199" s="27"/>
      <c r="Q199" s="27"/>
      <c r="R199" s="27"/>
    </row>
    <row r="200" spans="1:18" x14ac:dyDescent="0.25">
      <c r="A200" s="27"/>
      <c r="B200" s="27"/>
      <c r="C200" s="27"/>
      <c r="D200" s="27"/>
      <c r="E200" s="27"/>
      <c r="F200" s="27"/>
      <c r="G200" s="27"/>
      <c r="H200" s="27"/>
      <c r="I200" s="27"/>
      <c r="J200" s="27"/>
      <c r="K200" s="27"/>
      <c r="L200" s="27"/>
      <c r="M200" s="27"/>
      <c r="N200" s="27"/>
      <c r="O200" s="27"/>
      <c r="P200" s="27"/>
      <c r="Q200" s="27"/>
      <c r="R200" s="27"/>
    </row>
  </sheetData>
  <mergeCells count="2">
    <mergeCell ref="A2:Q2"/>
    <mergeCell ref="A1:Q1"/>
  </mergeCells>
  <conditionalFormatting sqref="Q6:Q300">
    <cfRule type="containsText" dxfId="15" priority="1" operator="containsText" text="Open"/>
    <cfRule type="containsText" dxfId="14" priority="3" operator="containsText" text="Approved"/>
    <cfRule type="containsText" dxfId="13" priority="5" operator="containsText" text="In Progress"/>
    <cfRule type="containsText" dxfId="12" priority="6" operator="containsText" text="Draft"/>
  </conditionalFormatting>
  <dataValidations count="4">
    <dataValidation type="list" allowBlank="1" sqref="J6:J300" xr:uid="{00000000-0002-0000-0600-000000000000}">
      <formula1>"Direct table access,View,Curated extract,Dashboard / BI tool,API,Secure file transfer"</formula1>
    </dataValidation>
    <dataValidation type="list" allowBlank="1" sqref="N6:N300" xr:uid="{00000000-0002-0000-0600-000001000000}">
      <formula1>"Public,Internal,Confidential,Restricted,Regulated / Sensitive"</formula1>
    </dataValidation>
    <dataValidation type="list" allowBlank="1" sqref="O6:O300" xr:uid="{00000000-0002-0000-0600-000002000000}">
      <formula1>"Yes,No"</formula1>
    </dataValidation>
    <dataValidation type="list" allowBlank="1" sqref="Q6:Q300" xr:uid="{00000000-0002-0000-0600-000003000000}">
      <formula1>"Not Started,Draft,In Progress,Ready for Review,Approved,Published,Retired"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300"/>
  <sheetViews>
    <sheetView workbookViewId="0">
      <pane ySplit="3" topLeftCell="A4" activePane="bottomLeft" state="frozen"/>
      <selection pane="bottomLeft"/>
    </sheetView>
  </sheetViews>
  <sheetFormatPr defaultRowHeight="15" x14ac:dyDescent="0.25"/>
  <cols>
    <col min="1" max="1" width="18" style="1" customWidth="1"/>
    <col min="2" max="2" width="10" style="1" customWidth="1"/>
    <col min="3" max="3" width="18" style="1" customWidth="1"/>
    <col min="4" max="4" width="24" style="1" customWidth="1"/>
    <col min="5" max="5" width="14" style="1" customWidth="1"/>
    <col min="6" max="7" width="22" style="1" customWidth="1"/>
    <col min="8" max="8" width="12" style="1" customWidth="1"/>
    <col min="9" max="9" width="18" style="1" customWidth="1"/>
    <col min="10" max="10" width="15" style="1" customWidth="1"/>
    <col min="11" max="11" width="12" style="1" customWidth="1"/>
    <col min="12" max="12" width="14" style="1" customWidth="1"/>
    <col min="13" max="13" width="24" style="1" customWidth="1"/>
  </cols>
  <sheetData>
    <row r="1" spans="1:52" ht="24" customHeight="1" x14ac:dyDescent="0.25">
      <c r="A1" s="59" t="s">
        <v>40</v>
      </c>
      <c r="B1" s="59"/>
      <c r="C1" s="59"/>
      <c r="D1" s="59"/>
      <c r="E1" s="59"/>
      <c r="F1" s="59"/>
      <c r="G1" s="59"/>
      <c r="H1" s="59"/>
      <c r="I1" s="59"/>
      <c r="J1" s="59"/>
      <c r="K1" s="59"/>
      <c r="L1" s="59"/>
      <c r="M1" s="59"/>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390</v>
      </c>
      <c r="B2" s="57"/>
      <c r="C2" s="57"/>
      <c r="D2" s="57"/>
      <c r="E2" s="57"/>
      <c r="F2" s="57"/>
      <c r="G2" s="57"/>
      <c r="H2" s="57"/>
      <c r="I2" s="57"/>
      <c r="J2" s="57"/>
      <c r="K2" s="57"/>
      <c r="L2" s="57"/>
      <c r="M2" s="58"/>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391</v>
      </c>
      <c r="B3" s="24"/>
      <c r="C3" s="24"/>
      <c r="D3" s="24"/>
      <c r="E3" s="24"/>
      <c r="F3" s="25" t="s">
        <v>392</v>
      </c>
      <c r="G3" s="25"/>
      <c r="H3" s="25"/>
      <c r="I3" s="25"/>
      <c r="J3" s="25"/>
      <c r="K3" s="26" t="s">
        <v>393</v>
      </c>
      <c r="L3" s="26"/>
      <c r="M3" s="26"/>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394</v>
      </c>
      <c r="B4" s="49" t="s">
        <v>395</v>
      </c>
      <c r="C4" s="49" t="s">
        <v>396</v>
      </c>
      <c r="D4" s="49" t="s">
        <v>350</v>
      </c>
      <c r="E4" s="49" t="s">
        <v>355</v>
      </c>
      <c r="F4" s="49" t="s">
        <v>397</v>
      </c>
      <c r="G4" s="49" t="s">
        <v>398</v>
      </c>
      <c r="H4" s="49" t="s">
        <v>399</v>
      </c>
      <c r="I4" s="49" t="s">
        <v>400</v>
      </c>
      <c r="J4" s="49" t="s">
        <v>401</v>
      </c>
      <c r="K4" s="49" t="s">
        <v>402</v>
      </c>
      <c r="L4" s="49" t="s">
        <v>403</v>
      </c>
      <c r="M4" s="49" t="s">
        <v>67</v>
      </c>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404</v>
      </c>
      <c r="B5" s="23" t="s">
        <v>310</v>
      </c>
      <c r="C5" s="23" t="s">
        <v>405</v>
      </c>
      <c r="D5" s="23" t="s">
        <v>406</v>
      </c>
      <c r="E5" s="23" t="s">
        <v>407</v>
      </c>
      <c r="F5" s="23" t="s">
        <v>408</v>
      </c>
      <c r="G5" s="23" t="s">
        <v>409</v>
      </c>
      <c r="H5" s="23" t="s">
        <v>410</v>
      </c>
      <c r="I5" s="23" t="s">
        <v>411</v>
      </c>
      <c r="J5" s="23" t="s">
        <v>412</v>
      </c>
      <c r="K5" s="23" t="s">
        <v>413</v>
      </c>
      <c r="L5" s="23" t="s">
        <v>414</v>
      </c>
      <c r="M5" s="23" t="s">
        <v>415</v>
      </c>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40.5" x14ac:dyDescent="0.25">
      <c r="A6" s="27" t="s">
        <v>181</v>
      </c>
      <c r="B6" s="27" t="s">
        <v>325</v>
      </c>
      <c r="C6" s="27" t="s">
        <v>416</v>
      </c>
      <c r="D6" s="27" t="s">
        <v>417</v>
      </c>
      <c r="E6" s="27" t="s">
        <v>418</v>
      </c>
      <c r="F6" s="27" t="s">
        <v>419</v>
      </c>
      <c r="G6" s="27" t="s">
        <v>420</v>
      </c>
      <c r="H6" s="27" t="s">
        <v>141</v>
      </c>
      <c r="I6" s="27" t="s">
        <v>421</v>
      </c>
      <c r="J6" s="27" t="s">
        <v>141</v>
      </c>
      <c r="K6" s="27" t="s">
        <v>422</v>
      </c>
      <c r="L6" s="28" t="s">
        <v>423</v>
      </c>
      <c r="M6" s="27" t="s">
        <v>424</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x14ac:dyDescent="0.25">
      <c r="A7" s="27"/>
      <c r="B7" s="27"/>
      <c r="C7" s="27"/>
      <c r="D7" s="27"/>
      <c r="E7" s="27"/>
      <c r="F7" s="27"/>
      <c r="G7" s="27"/>
      <c r="H7" s="27"/>
      <c r="I7" s="27"/>
      <c r="J7" s="27"/>
      <c r="K7" s="27"/>
      <c r="L7" s="28"/>
      <c r="M7" s="27"/>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7"/>
      <c r="D8" s="27"/>
      <c r="E8" s="27"/>
      <c r="F8" s="27"/>
      <c r="G8" s="27"/>
      <c r="H8" s="27"/>
      <c r="I8" s="27"/>
      <c r="J8" s="27"/>
      <c r="K8" s="27"/>
      <c r="L8" s="28"/>
      <c r="M8" s="27"/>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7"/>
      <c r="D9" s="27"/>
      <c r="E9" s="27"/>
      <c r="F9" s="27"/>
      <c r="G9" s="27"/>
      <c r="H9" s="27"/>
      <c r="I9" s="27"/>
      <c r="J9" s="27"/>
      <c r="K9" s="27"/>
      <c r="L9" s="28"/>
      <c r="M9" s="27"/>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7"/>
      <c r="D10" s="27"/>
      <c r="E10" s="27"/>
      <c r="F10" s="27"/>
      <c r="G10" s="27"/>
      <c r="H10" s="27"/>
      <c r="I10" s="27"/>
      <c r="J10" s="27"/>
      <c r="K10" s="27"/>
      <c r="L10" s="28"/>
      <c r="M10" s="27"/>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7"/>
      <c r="D11" s="27"/>
      <c r="E11" s="27"/>
      <c r="F11" s="27"/>
      <c r="G11" s="27"/>
      <c r="H11" s="27"/>
      <c r="I11" s="27"/>
      <c r="J11" s="27"/>
      <c r="K11" s="27"/>
      <c r="L11" s="28"/>
      <c r="M11" s="27"/>
    </row>
    <row r="12" spans="1:52" x14ac:dyDescent="0.25">
      <c r="A12" s="27"/>
      <c r="B12" s="27"/>
      <c r="C12" s="27"/>
      <c r="D12" s="27"/>
      <c r="E12" s="27"/>
      <c r="F12" s="27"/>
      <c r="G12" s="27"/>
      <c r="H12" s="27"/>
      <c r="I12" s="27"/>
      <c r="J12" s="27"/>
      <c r="K12" s="27"/>
      <c r="L12" s="28"/>
      <c r="M12" s="27"/>
    </row>
    <row r="13" spans="1:52" x14ac:dyDescent="0.25">
      <c r="A13" s="27"/>
      <c r="B13" s="27"/>
      <c r="C13" s="27"/>
      <c r="D13" s="27"/>
      <c r="E13" s="27"/>
      <c r="F13" s="27"/>
      <c r="G13" s="27"/>
      <c r="H13" s="27"/>
      <c r="I13" s="27"/>
      <c r="J13" s="27"/>
      <c r="K13" s="27"/>
      <c r="L13" s="28"/>
      <c r="M13" s="27"/>
    </row>
    <row r="14" spans="1:52" x14ac:dyDescent="0.25">
      <c r="A14" s="27"/>
      <c r="B14" s="27"/>
      <c r="C14" s="27"/>
      <c r="D14" s="27"/>
      <c r="E14" s="27"/>
      <c r="F14" s="27"/>
      <c r="G14" s="27"/>
      <c r="H14" s="27"/>
      <c r="I14" s="27"/>
      <c r="J14" s="27"/>
      <c r="K14" s="27"/>
      <c r="L14" s="28"/>
      <c r="M14" s="27"/>
    </row>
    <row r="15" spans="1:52" x14ac:dyDescent="0.25">
      <c r="A15" s="27"/>
      <c r="B15" s="27"/>
      <c r="C15" s="27"/>
      <c r="D15" s="27"/>
      <c r="E15" s="27"/>
      <c r="F15" s="27"/>
      <c r="G15" s="27"/>
      <c r="H15" s="27"/>
      <c r="I15" s="27"/>
      <c r="J15" s="27"/>
      <c r="K15" s="27"/>
      <c r="L15" s="28"/>
      <c r="M15" s="27"/>
    </row>
    <row r="16" spans="1:52" x14ac:dyDescent="0.25">
      <c r="A16" s="27"/>
      <c r="B16" s="27"/>
      <c r="C16" s="27"/>
      <c r="D16" s="27"/>
      <c r="E16" s="27"/>
      <c r="F16" s="27"/>
      <c r="G16" s="27"/>
      <c r="H16" s="27"/>
      <c r="I16" s="27"/>
      <c r="J16" s="27"/>
      <c r="K16" s="27"/>
      <c r="L16" s="28"/>
      <c r="M16" s="27"/>
    </row>
    <row r="17" spans="1:13" x14ac:dyDescent="0.25">
      <c r="A17" s="27"/>
      <c r="B17" s="27"/>
      <c r="C17" s="27"/>
      <c r="D17" s="27"/>
      <c r="E17" s="27"/>
      <c r="F17" s="27"/>
      <c r="G17" s="27"/>
      <c r="H17" s="27"/>
      <c r="I17" s="27"/>
      <c r="J17" s="27"/>
      <c r="K17" s="27"/>
      <c r="L17" s="28"/>
      <c r="M17" s="27"/>
    </row>
    <row r="18" spans="1:13" x14ac:dyDescent="0.25">
      <c r="A18" s="27"/>
      <c r="B18" s="27"/>
      <c r="C18" s="27"/>
      <c r="D18" s="27"/>
      <c r="E18" s="27"/>
      <c r="F18" s="27"/>
      <c r="G18" s="27"/>
      <c r="H18" s="27"/>
      <c r="I18" s="27"/>
      <c r="J18" s="27"/>
      <c r="K18" s="27"/>
      <c r="L18" s="28"/>
      <c r="M18" s="27"/>
    </row>
    <row r="19" spans="1:13" x14ac:dyDescent="0.25">
      <c r="A19" s="27"/>
      <c r="B19" s="27"/>
      <c r="C19" s="27"/>
      <c r="D19" s="27"/>
      <c r="E19" s="27"/>
      <c r="F19" s="27"/>
      <c r="G19" s="27"/>
      <c r="H19" s="27"/>
      <c r="I19" s="27"/>
      <c r="J19" s="27"/>
      <c r="K19" s="27"/>
      <c r="L19" s="28"/>
      <c r="M19" s="27"/>
    </row>
    <row r="20" spans="1:13" x14ac:dyDescent="0.25">
      <c r="A20" s="27"/>
      <c r="B20" s="27"/>
      <c r="C20" s="27"/>
      <c r="D20" s="27"/>
      <c r="E20" s="27"/>
      <c r="F20" s="27"/>
      <c r="G20" s="27"/>
      <c r="H20" s="27"/>
      <c r="I20" s="27"/>
      <c r="J20" s="27"/>
      <c r="K20" s="27"/>
      <c r="L20" s="28"/>
      <c r="M20" s="27"/>
    </row>
    <row r="21" spans="1:13" x14ac:dyDescent="0.25">
      <c r="A21" s="27"/>
      <c r="B21" s="27"/>
      <c r="C21" s="27"/>
      <c r="D21" s="27"/>
      <c r="E21" s="27"/>
      <c r="F21" s="27"/>
      <c r="G21" s="27"/>
      <c r="H21" s="27"/>
      <c r="I21" s="27"/>
      <c r="J21" s="27"/>
      <c r="K21" s="27"/>
      <c r="L21" s="28"/>
      <c r="M21" s="27"/>
    </row>
    <row r="22" spans="1:13" x14ac:dyDescent="0.25">
      <c r="A22" s="27"/>
      <c r="B22" s="27"/>
      <c r="C22" s="27"/>
      <c r="D22" s="27"/>
      <c r="E22" s="27"/>
      <c r="F22" s="27"/>
      <c r="G22" s="27"/>
      <c r="H22" s="27"/>
      <c r="I22" s="27"/>
      <c r="J22" s="27"/>
      <c r="K22" s="27"/>
      <c r="L22" s="28"/>
      <c r="M22" s="27"/>
    </row>
    <row r="23" spans="1:13" x14ac:dyDescent="0.25">
      <c r="A23" s="27"/>
      <c r="B23" s="27"/>
      <c r="C23" s="27"/>
      <c r="D23" s="27"/>
      <c r="E23" s="27"/>
      <c r="F23" s="27"/>
      <c r="G23" s="27"/>
      <c r="H23" s="27"/>
      <c r="I23" s="27"/>
      <c r="J23" s="27"/>
      <c r="K23" s="27"/>
      <c r="L23" s="28"/>
      <c r="M23" s="27"/>
    </row>
    <row r="24" spans="1:13" x14ac:dyDescent="0.25">
      <c r="A24" s="27"/>
      <c r="B24" s="27"/>
      <c r="C24" s="27"/>
      <c r="D24" s="27"/>
      <c r="E24" s="27"/>
      <c r="F24" s="27"/>
      <c r="G24" s="27"/>
      <c r="H24" s="27"/>
      <c r="I24" s="27"/>
      <c r="J24" s="27"/>
      <c r="K24" s="27"/>
      <c r="L24" s="28"/>
      <c r="M24" s="27"/>
    </row>
    <row r="25" spans="1:13" x14ac:dyDescent="0.25">
      <c r="A25" s="27"/>
      <c r="B25" s="27"/>
      <c r="C25" s="27"/>
      <c r="D25" s="27"/>
      <c r="E25" s="27"/>
      <c r="F25" s="27"/>
      <c r="G25" s="27"/>
      <c r="H25" s="27"/>
      <c r="I25" s="27"/>
      <c r="J25" s="27"/>
      <c r="K25" s="27"/>
      <c r="L25" s="28"/>
      <c r="M25" s="27"/>
    </row>
    <row r="26" spans="1:13" x14ac:dyDescent="0.25">
      <c r="A26" s="27"/>
      <c r="B26" s="27"/>
      <c r="C26" s="27"/>
      <c r="D26" s="27"/>
      <c r="E26" s="27"/>
      <c r="F26" s="27"/>
      <c r="G26" s="27"/>
      <c r="H26" s="27"/>
      <c r="I26" s="27"/>
      <c r="J26" s="27"/>
      <c r="K26" s="27"/>
      <c r="L26" s="28"/>
      <c r="M26" s="27"/>
    </row>
    <row r="27" spans="1:13" x14ac:dyDescent="0.25">
      <c r="A27" s="27"/>
      <c r="B27" s="27"/>
      <c r="C27" s="27"/>
      <c r="D27" s="27"/>
      <c r="E27" s="27"/>
      <c r="F27" s="27"/>
      <c r="G27" s="27"/>
      <c r="H27" s="27"/>
      <c r="I27" s="27"/>
      <c r="J27" s="27"/>
      <c r="K27" s="27"/>
      <c r="L27" s="28"/>
      <c r="M27" s="27"/>
    </row>
    <row r="28" spans="1:13" x14ac:dyDescent="0.25">
      <c r="A28" s="27"/>
      <c r="B28" s="27"/>
      <c r="C28" s="27"/>
      <c r="D28" s="27"/>
      <c r="E28" s="27"/>
      <c r="F28" s="27"/>
      <c r="G28" s="27"/>
      <c r="H28" s="27"/>
      <c r="I28" s="27"/>
      <c r="J28" s="27"/>
      <c r="K28" s="27"/>
      <c r="L28" s="28"/>
      <c r="M28" s="27"/>
    </row>
    <row r="29" spans="1:13" x14ac:dyDescent="0.25">
      <c r="A29" s="27"/>
      <c r="B29" s="27"/>
      <c r="C29" s="27"/>
      <c r="D29" s="27"/>
      <c r="E29" s="27"/>
      <c r="F29" s="27"/>
      <c r="G29" s="27"/>
      <c r="H29" s="27"/>
      <c r="I29" s="27"/>
      <c r="J29" s="27"/>
      <c r="K29" s="27"/>
      <c r="L29" s="28"/>
      <c r="M29" s="27"/>
    </row>
    <row r="30" spans="1:13" x14ac:dyDescent="0.25">
      <c r="A30" s="27"/>
      <c r="B30" s="27"/>
      <c r="C30" s="27"/>
      <c r="D30" s="27"/>
      <c r="E30" s="27"/>
      <c r="F30" s="27"/>
      <c r="G30" s="27"/>
      <c r="H30" s="27"/>
      <c r="I30" s="27"/>
      <c r="J30" s="27"/>
      <c r="K30" s="27"/>
      <c r="L30" s="28"/>
      <c r="M30" s="27"/>
    </row>
    <row r="31" spans="1:13" x14ac:dyDescent="0.25">
      <c r="A31" s="27"/>
      <c r="B31" s="27"/>
      <c r="C31" s="27"/>
      <c r="D31" s="27"/>
      <c r="E31" s="27"/>
      <c r="F31" s="27"/>
      <c r="G31" s="27"/>
      <c r="H31" s="27"/>
      <c r="I31" s="27"/>
      <c r="J31" s="27"/>
      <c r="K31" s="27"/>
      <c r="L31" s="28"/>
      <c r="M31" s="27"/>
    </row>
    <row r="32" spans="1:13" x14ac:dyDescent="0.25">
      <c r="A32" s="27"/>
      <c r="B32" s="27"/>
      <c r="C32" s="27"/>
      <c r="D32" s="27"/>
      <c r="E32" s="27"/>
      <c r="F32" s="27"/>
      <c r="G32" s="27"/>
      <c r="H32" s="27"/>
      <c r="I32" s="27"/>
      <c r="J32" s="27"/>
      <c r="K32" s="27"/>
      <c r="L32" s="28"/>
      <c r="M32" s="27"/>
    </row>
    <row r="33" spans="1:13" x14ac:dyDescent="0.25">
      <c r="A33" s="27"/>
      <c r="B33" s="27"/>
      <c r="C33" s="27"/>
      <c r="D33" s="27"/>
      <c r="E33" s="27"/>
      <c r="F33" s="27"/>
      <c r="G33" s="27"/>
      <c r="H33" s="27"/>
      <c r="I33" s="27"/>
      <c r="J33" s="27"/>
      <c r="K33" s="27"/>
      <c r="L33" s="28"/>
      <c r="M33" s="27"/>
    </row>
    <row r="34" spans="1:13" x14ac:dyDescent="0.25">
      <c r="A34" s="27"/>
      <c r="B34" s="27"/>
      <c r="C34" s="27"/>
      <c r="D34" s="27"/>
      <c r="E34" s="27"/>
      <c r="F34" s="27"/>
      <c r="G34" s="27"/>
      <c r="H34" s="27"/>
      <c r="I34" s="27"/>
      <c r="J34" s="27"/>
      <c r="K34" s="27"/>
      <c r="L34" s="28"/>
      <c r="M34" s="27"/>
    </row>
    <row r="35" spans="1:13" x14ac:dyDescent="0.25">
      <c r="A35" s="27"/>
      <c r="B35" s="27"/>
      <c r="C35" s="27"/>
      <c r="D35" s="27"/>
      <c r="E35" s="27"/>
      <c r="F35" s="27"/>
      <c r="G35" s="27"/>
      <c r="H35" s="27"/>
      <c r="I35" s="27"/>
      <c r="J35" s="27"/>
      <c r="K35" s="27"/>
      <c r="L35" s="28"/>
      <c r="M35" s="27"/>
    </row>
    <row r="36" spans="1:13" x14ac:dyDescent="0.25">
      <c r="A36" s="27"/>
      <c r="B36" s="27"/>
      <c r="C36" s="27"/>
      <c r="D36" s="27"/>
      <c r="E36" s="27"/>
      <c r="F36" s="27"/>
      <c r="G36" s="27"/>
      <c r="H36" s="27"/>
      <c r="I36" s="27"/>
      <c r="J36" s="27"/>
      <c r="K36" s="27"/>
      <c r="L36" s="28"/>
      <c r="M36" s="27"/>
    </row>
    <row r="37" spans="1:13" x14ac:dyDescent="0.25">
      <c r="A37" s="27"/>
      <c r="B37" s="27"/>
      <c r="C37" s="27"/>
      <c r="D37" s="27"/>
      <c r="E37" s="27"/>
      <c r="F37" s="27"/>
      <c r="G37" s="27"/>
      <c r="H37" s="27"/>
      <c r="I37" s="27"/>
      <c r="J37" s="27"/>
      <c r="K37" s="27"/>
      <c r="L37" s="28"/>
      <c r="M37" s="27"/>
    </row>
    <row r="38" spans="1:13" x14ac:dyDescent="0.25">
      <c r="A38" s="27"/>
      <c r="B38" s="27"/>
      <c r="C38" s="27"/>
      <c r="D38" s="27"/>
      <c r="E38" s="27"/>
      <c r="F38" s="27"/>
      <c r="G38" s="27"/>
      <c r="H38" s="27"/>
      <c r="I38" s="27"/>
      <c r="J38" s="27"/>
      <c r="K38" s="27"/>
      <c r="L38" s="28"/>
      <c r="M38" s="27"/>
    </row>
    <row r="39" spans="1:13" x14ac:dyDescent="0.25">
      <c r="A39" s="27"/>
      <c r="B39" s="27"/>
      <c r="C39" s="27"/>
      <c r="D39" s="27"/>
      <c r="E39" s="27"/>
      <c r="F39" s="27"/>
      <c r="G39" s="27"/>
      <c r="H39" s="27"/>
      <c r="I39" s="27"/>
      <c r="J39" s="27"/>
      <c r="K39" s="27"/>
      <c r="L39" s="28"/>
      <c r="M39" s="27"/>
    </row>
    <row r="40" spans="1:13" x14ac:dyDescent="0.25">
      <c r="A40" s="27"/>
      <c r="B40" s="27"/>
      <c r="C40" s="27"/>
      <c r="D40" s="27"/>
      <c r="E40" s="27"/>
      <c r="F40" s="27"/>
      <c r="G40" s="27"/>
      <c r="H40" s="27"/>
      <c r="I40" s="27"/>
      <c r="J40" s="27"/>
      <c r="K40" s="27"/>
      <c r="L40" s="28"/>
      <c r="M40" s="27"/>
    </row>
    <row r="41" spans="1:13" x14ac:dyDescent="0.25">
      <c r="A41" s="27"/>
      <c r="B41" s="27"/>
      <c r="C41" s="27"/>
      <c r="D41" s="27"/>
      <c r="E41" s="27"/>
      <c r="F41" s="27"/>
      <c r="G41" s="27"/>
      <c r="H41" s="27"/>
      <c r="I41" s="27"/>
      <c r="J41" s="27"/>
      <c r="K41" s="27"/>
      <c r="L41" s="28"/>
      <c r="M41" s="27"/>
    </row>
    <row r="42" spans="1:13" x14ac:dyDescent="0.25">
      <c r="A42" s="27"/>
      <c r="B42" s="27"/>
      <c r="C42" s="27"/>
      <c r="D42" s="27"/>
      <c r="E42" s="27"/>
      <c r="F42" s="27"/>
      <c r="G42" s="27"/>
      <c r="H42" s="27"/>
      <c r="I42" s="27"/>
      <c r="J42" s="27"/>
      <c r="K42" s="27"/>
      <c r="L42" s="28"/>
      <c r="M42" s="27"/>
    </row>
    <row r="43" spans="1:13" x14ac:dyDescent="0.25">
      <c r="A43" s="27"/>
      <c r="B43" s="27"/>
      <c r="C43" s="27"/>
      <c r="D43" s="27"/>
      <c r="E43" s="27"/>
      <c r="F43" s="27"/>
      <c r="G43" s="27"/>
      <c r="H43" s="27"/>
      <c r="I43" s="27"/>
      <c r="J43" s="27"/>
      <c r="K43" s="27"/>
      <c r="L43" s="28"/>
      <c r="M43" s="27"/>
    </row>
    <row r="44" spans="1:13" x14ac:dyDescent="0.25">
      <c r="A44" s="27"/>
      <c r="B44" s="27"/>
      <c r="C44" s="27"/>
      <c r="D44" s="27"/>
      <c r="E44" s="27"/>
      <c r="F44" s="27"/>
      <c r="G44" s="27"/>
      <c r="H44" s="27"/>
      <c r="I44" s="27"/>
      <c r="J44" s="27"/>
      <c r="K44" s="27"/>
      <c r="L44" s="28"/>
      <c r="M44" s="27"/>
    </row>
    <row r="45" spans="1:13" x14ac:dyDescent="0.25">
      <c r="A45" s="27"/>
      <c r="B45" s="27"/>
      <c r="C45" s="27"/>
      <c r="D45" s="27"/>
      <c r="E45" s="27"/>
      <c r="F45" s="27"/>
      <c r="G45" s="27"/>
      <c r="H45" s="27"/>
      <c r="I45" s="27"/>
      <c r="J45" s="27"/>
      <c r="K45" s="27"/>
      <c r="L45" s="28"/>
      <c r="M45" s="27"/>
    </row>
    <row r="46" spans="1:13" x14ac:dyDescent="0.25">
      <c r="A46" s="27"/>
      <c r="B46" s="27"/>
      <c r="C46" s="27"/>
      <c r="D46" s="27"/>
      <c r="E46" s="27"/>
      <c r="F46" s="27"/>
      <c r="G46" s="27"/>
      <c r="H46" s="27"/>
      <c r="I46" s="27"/>
      <c r="J46" s="27"/>
      <c r="K46" s="27"/>
      <c r="L46" s="28"/>
      <c r="M46" s="27"/>
    </row>
    <row r="47" spans="1:13" x14ac:dyDescent="0.25">
      <c r="A47" s="27"/>
      <c r="B47" s="27"/>
      <c r="C47" s="27"/>
      <c r="D47" s="27"/>
      <c r="E47" s="27"/>
      <c r="F47" s="27"/>
      <c r="G47" s="27"/>
      <c r="H47" s="27"/>
      <c r="I47" s="27"/>
      <c r="J47" s="27"/>
      <c r="K47" s="27"/>
      <c r="L47" s="28"/>
      <c r="M47" s="27"/>
    </row>
    <row r="48" spans="1:13" x14ac:dyDescent="0.25">
      <c r="A48" s="27"/>
      <c r="B48" s="27"/>
      <c r="C48" s="27"/>
      <c r="D48" s="27"/>
      <c r="E48" s="27"/>
      <c r="F48" s="27"/>
      <c r="G48" s="27"/>
      <c r="H48" s="27"/>
      <c r="I48" s="27"/>
      <c r="J48" s="27"/>
      <c r="K48" s="27"/>
      <c r="L48" s="28"/>
      <c r="M48" s="27"/>
    </row>
    <row r="49" spans="1:13" x14ac:dyDescent="0.25">
      <c r="A49" s="27"/>
      <c r="B49" s="27"/>
      <c r="C49" s="27"/>
      <c r="D49" s="27"/>
      <c r="E49" s="27"/>
      <c r="F49" s="27"/>
      <c r="G49" s="27"/>
      <c r="H49" s="27"/>
      <c r="I49" s="27"/>
      <c r="J49" s="27"/>
      <c r="K49" s="27"/>
      <c r="L49" s="28"/>
      <c r="M49" s="27"/>
    </row>
    <row r="50" spans="1:13" x14ac:dyDescent="0.25">
      <c r="A50" s="27"/>
      <c r="B50" s="27"/>
      <c r="C50" s="27"/>
      <c r="D50" s="27"/>
      <c r="E50" s="27"/>
      <c r="F50" s="27"/>
      <c r="G50" s="27"/>
      <c r="H50" s="27"/>
      <c r="I50" s="27"/>
      <c r="J50" s="27"/>
      <c r="K50" s="27"/>
      <c r="L50" s="28"/>
      <c r="M50" s="27"/>
    </row>
    <row r="51" spans="1:13" x14ac:dyDescent="0.25">
      <c r="A51" s="27"/>
      <c r="B51" s="27"/>
      <c r="C51" s="27"/>
      <c r="D51" s="27"/>
      <c r="E51" s="27"/>
      <c r="F51" s="27"/>
      <c r="G51" s="27"/>
      <c r="H51" s="27"/>
      <c r="I51" s="27"/>
      <c r="J51" s="27"/>
      <c r="K51" s="27"/>
      <c r="L51" s="28"/>
      <c r="M51" s="27"/>
    </row>
    <row r="52" spans="1:13" x14ac:dyDescent="0.25">
      <c r="A52" s="27"/>
      <c r="B52" s="27"/>
      <c r="C52" s="27"/>
      <c r="D52" s="27"/>
      <c r="E52" s="27"/>
      <c r="F52" s="27"/>
      <c r="G52" s="27"/>
      <c r="H52" s="27"/>
      <c r="I52" s="27"/>
      <c r="J52" s="27"/>
      <c r="K52" s="27"/>
      <c r="L52" s="28"/>
      <c r="M52" s="27"/>
    </row>
    <row r="53" spans="1:13" x14ac:dyDescent="0.25">
      <c r="A53" s="27"/>
      <c r="B53" s="27"/>
      <c r="C53" s="27"/>
      <c r="D53" s="27"/>
      <c r="E53" s="27"/>
      <c r="F53" s="27"/>
      <c r="G53" s="27"/>
      <c r="H53" s="27"/>
      <c r="I53" s="27"/>
      <c r="J53" s="27"/>
      <c r="K53" s="27"/>
      <c r="L53" s="28"/>
      <c r="M53" s="27"/>
    </row>
    <row r="54" spans="1:13" x14ac:dyDescent="0.25">
      <c r="A54" s="27"/>
      <c r="B54" s="27"/>
      <c r="C54" s="27"/>
      <c r="D54" s="27"/>
      <c r="E54" s="27"/>
      <c r="F54" s="27"/>
      <c r="G54" s="27"/>
      <c r="H54" s="27"/>
      <c r="I54" s="27"/>
      <c r="J54" s="27"/>
      <c r="K54" s="27"/>
      <c r="L54" s="28"/>
      <c r="M54" s="27"/>
    </row>
    <row r="55" spans="1:13" x14ac:dyDescent="0.25">
      <c r="A55" s="27"/>
      <c r="B55" s="27"/>
      <c r="C55" s="27"/>
      <c r="D55" s="27"/>
      <c r="E55" s="27"/>
      <c r="F55" s="27"/>
      <c r="G55" s="27"/>
      <c r="H55" s="27"/>
      <c r="I55" s="27"/>
      <c r="J55" s="27"/>
      <c r="K55" s="27"/>
      <c r="L55" s="28"/>
      <c r="M55" s="27"/>
    </row>
    <row r="56" spans="1:13" x14ac:dyDescent="0.25">
      <c r="A56" s="27"/>
      <c r="B56" s="27"/>
      <c r="C56" s="27"/>
      <c r="D56" s="27"/>
      <c r="E56" s="27"/>
      <c r="F56" s="27"/>
      <c r="G56" s="27"/>
      <c r="H56" s="27"/>
      <c r="I56" s="27"/>
      <c r="J56" s="27"/>
      <c r="K56" s="27"/>
      <c r="L56" s="28"/>
      <c r="M56" s="27"/>
    </row>
    <row r="57" spans="1:13" x14ac:dyDescent="0.25">
      <c r="A57" s="27"/>
      <c r="B57" s="27"/>
      <c r="C57" s="27"/>
      <c r="D57" s="27"/>
      <c r="E57" s="27"/>
      <c r="F57" s="27"/>
      <c r="G57" s="27"/>
      <c r="H57" s="27"/>
      <c r="I57" s="27"/>
      <c r="J57" s="27"/>
      <c r="K57" s="27"/>
      <c r="L57" s="28"/>
      <c r="M57" s="27"/>
    </row>
    <row r="58" spans="1:13" x14ac:dyDescent="0.25">
      <c r="A58" s="27"/>
      <c r="B58" s="27"/>
      <c r="C58" s="27"/>
      <c r="D58" s="27"/>
      <c r="E58" s="27"/>
      <c r="F58" s="27"/>
      <c r="G58" s="27"/>
      <c r="H58" s="27"/>
      <c r="I58" s="27"/>
      <c r="J58" s="27"/>
      <c r="K58" s="27"/>
      <c r="L58" s="28"/>
      <c r="M58" s="27"/>
    </row>
    <row r="59" spans="1:13" x14ac:dyDescent="0.25">
      <c r="A59" s="27"/>
      <c r="B59" s="27"/>
      <c r="C59" s="27"/>
      <c r="D59" s="27"/>
      <c r="E59" s="27"/>
      <c r="F59" s="27"/>
      <c r="G59" s="27"/>
      <c r="H59" s="27"/>
      <c r="I59" s="27"/>
      <c r="J59" s="27"/>
      <c r="K59" s="27"/>
      <c r="L59" s="28"/>
      <c r="M59" s="27"/>
    </row>
    <row r="60" spans="1:13" x14ac:dyDescent="0.25">
      <c r="A60" s="27"/>
      <c r="B60" s="27"/>
      <c r="C60" s="27"/>
      <c r="D60" s="27"/>
      <c r="E60" s="27"/>
      <c r="F60" s="27"/>
      <c r="G60" s="27"/>
      <c r="H60" s="27"/>
      <c r="I60" s="27"/>
      <c r="J60" s="27"/>
      <c r="K60" s="27"/>
      <c r="L60" s="28"/>
      <c r="M60" s="27"/>
    </row>
    <row r="61" spans="1:13" x14ac:dyDescent="0.25">
      <c r="A61" s="27"/>
      <c r="B61" s="27"/>
      <c r="C61" s="27"/>
      <c r="D61" s="27"/>
      <c r="E61" s="27"/>
      <c r="F61" s="27"/>
      <c r="G61" s="27"/>
      <c r="H61" s="27"/>
      <c r="I61" s="27"/>
      <c r="J61" s="27"/>
      <c r="K61" s="27"/>
      <c r="L61" s="28"/>
      <c r="M61" s="27"/>
    </row>
    <row r="62" spans="1:13" x14ac:dyDescent="0.25">
      <c r="A62" s="27"/>
      <c r="B62" s="27"/>
      <c r="C62" s="27"/>
      <c r="D62" s="27"/>
      <c r="E62" s="27"/>
      <c r="F62" s="27"/>
      <c r="G62" s="27"/>
      <c r="H62" s="27"/>
      <c r="I62" s="27"/>
      <c r="J62" s="27"/>
      <c r="K62" s="27"/>
      <c r="L62" s="28"/>
      <c r="M62" s="27"/>
    </row>
    <row r="63" spans="1:13" x14ac:dyDescent="0.25">
      <c r="A63" s="27"/>
      <c r="B63" s="27"/>
      <c r="C63" s="27"/>
      <c r="D63" s="27"/>
      <c r="E63" s="27"/>
      <c r="F63" s="27"/>
      <c r="G63" s="27"/>
      <c r="H63" s="27"/>
      <c r="I63" s="27"/>
      <c r="J63" s="27"/>
      <c r="K63" s="27"/>
      <c r="L63" s="28"/>
      <c r="M63" s="27"/>
    </row>
    <row r="64" spans="1:13" x14ac:dyDescent="0.25">
      <c r="A64" s="27"/>
      <c r="B64" s="27"/>
      <c r="C64" s="27"/>
      <c r="D64" s="27"/>
      <c r="E64" s="27"/>
      <c r="F64" s="27"/>
      <c r="G64" s="27"/>
      <c r="H64" s="27"/>
      <c r="I64" s="27"/>
      <c r="J64" s="27"/>
      <c r="K64" s="27"/>
      <c r="L64" s="28"/>
      <c r="M64" s="27"/>
    </row>
    <row r="65" spans="1:13" x14ac:dyDescent="0.25">
      <c r="A65" s="27"/>
      <c r="B65" s="27"/>
      <c r="C65" s="27"/>
      <c r="D65" s="27"/>
      <c r="E65" s="27"/>
      <c r="F65" s="27"/>
      <c r="G65" s="27"/>
      <c r="H65" s="27"/>
      <c r="I65" s="27"/>
      <c r="J65" s="27"/>
      <c r="K65" s="27"/>
      <c r="L65" s="28"/>
      <c r="M65" s="27"/>
    </row>
    <row r="66" spans="1:13" x14ac:dyDescent="0.25">
      <c r="A66" s="27"/>
      <c r="B66" s="27"/>
      <c r="C66" s="27"/>
      <c r="D66" s="27"/>
      <c r="E66" s="27"/>
      <c r="F66" s="27"/>
      <c r="G66" s="27"/>
      <c r="H66" s="27"/>
      <c r="I66" s="27"/>
      <c r="J66" s="27"/>
      <c r="K66" s="27"/>
      <c r="L66" s="28"/>
      <c r="M66" s="27"/>
    </row>
    <row r="67" spans="1:13" x14ac:dyDescent="0.25">
      <c r="A67" s="27"/>
      <c r="B67" s="27"/>
      <c r="C67" s="27"/>
      <c r="D67" s="27"/>
      <c r="E67" s="27"/>
      <c r="F67" s="27"/>
      <c r="G67" s="27"/>
      <c r="H67" s="27"/>
      <c r="I67" s="27"/>
      <c r="J67" s="27"/>
      <c r="K67" s="27"/>
      <c r="L67" s="28"/>
      <c r="M67" s="27"/>
    </row>
    <row r="68" spans="1:13" x14ac:dyDescent="0.25">
      <c r="A68" s="27"/>
      <c r="B68" s="27"/>
      <c r="C68" s="27"/>
      <c r="D68" s="27"/>
      <c r="E68" s="27"/>
      <c r="F68" s="27"/>
      <c r="G68" s="27"/>
      <c r="H68" s="27"/>
      <c r="I68" s="27"/>
      <c r="J68" s="27"/>
      <c r="K68" s="27"/>
      <c r="L68" s="28"/>
      <c r="M68" s="27"/>
    </row>
    <row r="69" spans="1:13" x14ac:dyDescent="0.25">
      <c r="A69" s="27"/>
      <c r="B69" s="27"/>
      <c r="C69" s="27"/>
      <c r="D69" s="27"/>
      <c r="E69" s="27"/>
      <c r="F69" s="27"/>
      <c r="G69" s="27"/>
      <c r="H69" s="27"/>
      <c r="I69" s="27"/>
      <c r="J69" s="27"/>
      <c r="K69" s="27"/>
      <c r="L69" s="28"/>
      <c r="M69" s="27"/>
    </row>
    <row r="70" spans="1:13" x14ac:dyDescent="0.25">
      <c r="A70" s="27"/>
      <c r="B70" s="27"/>
      <c r="C70" s="27"/>
      <c r="D70" s="27"/>
      <c r="E70" s="27"/>
      <c r="F70" s="27"/>
      <c r="G70" s="27"/>
      <c r="H70" s="27"/>
      <c r="I70" s="27"/>
      <c r="J70" s="27"/>
      <c r="K70" s="27"/>
      <c r="L70" s="28"/>
      <c r="M70" s="27"/>
    </row>
    <row r="71" spans="1:13" x14ac:dyDescent="0.25">
      <c r="A71" s="27"/>
      <c r="B71" s="27"/>
      <c r="C71" s="27"/>
      <c r="D71" s="27"/>
      <c r="E71" s="27"/>
      <c r="F71" s="27"/>
      <c r="G71" s="27"/>
      <c r="H71" s="27"/>
      <c r="I71" s="27"/>
      <c r="J71" s="27"/>
      <c r="K71" s="27"/>
      <c r="L71" s="28"/>
      <c r="M71" s="27"/>
    </row>
    <row r="72" spans="1:13" x14ac:dyDescent="0.25">
      <c r="A72" s="27"/>
      <c r="B72" s="27"/>
      <c r="C72" s="27"/>
      <c r="D72" s="27"/>
      <c r="E72" s="27"/>
      <c r="F72" s="27"/>
      <c r="G72" s="27"/>
      <c r="H72" s="27"/>
      <c r="I72" s="27"/>
      <c r="J72" s="27"/>
      <c r="K72" s="27"/>
      <c r="L72" s="28"/>
      <c r="M72" s="27"/>
    </row>
    <row r="73" spans="1:13" x14ac:dyDescent="0.25">
      <c r="A73" s="27"/>
      <c r="B73" s="27"/>
      <c r="C73" s="27"/>
      <c r="D73" s="27"/>
      <c r="E73" s="27"/>
      <c r="F73" s="27"/>
      <c r="G73" s="27"/>
      <c r="H73" s="27"/>
      <c r="I73" s="27"/>
      <c r="J73" s="27"/>
      <c r="K73" s="27"/>
      <c r="L73" s="28"/>
      <c r="M73" s="27"/>
    </row>
    <row r="74" spans="1:13" x14ac:dyDescent="0.25">
      <c r="A74" s="27"/>
      <c r="B74" s="27"/>
      <c r="C74" s="27"/>
      <c r="D74" s="27"/>
      <c r="E74" s="27"/>
      <c r="F74" s="27"/>
      <c r="G74" s="27"/>
      <c r="H74" s="27"/>
      <c r="I74" s="27"/>
      <c r="J74" s="27"/>
      <c r="K74" s="27"/>
      <c r="L74" s="28"/>
      <c r="M74" s="27"/>
    </row>
    <row r="75" spans="1:13" x14ac:dyDescent="0.25">
      <c r="A75" s="27"/>
      <c r="B75" s="27"/>
      <c r="C75" s="27"/>
      <c r="D75" s="27"/>
      <c r="E75" s="27"/>
      <c r="F75" s="27"/>
      <c r="G75" s="27"/>
      <c r="H75" s="27"/>
      <c r="I75" s="27"/>
      <c r="J75" s="27"/>
      <c r="K75" s="27"/>
      <c r="L75" s="28"/>
      <c r="M75" s="27"/>
    </row>
    <row r="76" spans="1:13" x14ac:dyDescent="0.25">
      <c r="A76" s="27"/>
      <c r="B76" s="27"/>
      <c r="C76" s="27"/>
      <c r="D76" s="27"/>
      <c r="E76" s="27"/>
      <c r="F76" s="27"/>
      <c r="G76" s="27"/>
      <c r="H76" s="27"/>
      <c r="I76" s="27"/>
      <c r="J76" s="27"/>
      <c r="K76" s="27"/>
      <c r="L76" s="28"/>
      <c r="M76" s="27"/>
    </row>
    <row r="77" spans="1:13" x14ac:dyDescent="0.25">
      <c r="A77" s="27"/>
      <c r="B77" s="27"/>
      <c r="C77" s="27"/>
      <c r="D77" s="27"/>
      <c r="E77" s="27"/>
      <c r="F77" s="27"/>
      <c r="G77" s="27"/>
      <c r="H77" s="27"/>
      <c r="I77" s="27"/>
      <c r="J77" s="27"/>
      <c r="K77" s="27"/>
      <c r="L77" s="28"/>
      <c r="M77" s="27"/>
    </row>
    <row r="78" spans="1:13" x14ac:dyDescent="0.25">
      <c r="A78" s="27"/>
      <c r="B78" s="27"/>
      <c r="C78" s="27"/>
      <c r="D78" s="27"/>
      <c r="E78" s="27"/>
      <c r="F78" s="27"/>
      <c r="G78" s="27"/>
      <c r="H78" s="27"/>
      <c r="I78" s="27"/>
      <c r="J78" s="27"/>
      <c r="K78" s="27"/>
      <c r="L78" s="28"/>
      <c r="M78" s="27"/>
    </row>
    <row r="79" spans="1:13" x14ac:dyDescent="0.25">
      <c r="A79" s="27"/>
      <c r="B79" s="27"/>
      <c r="C79" s="27"/>
      <c r="D79" s="27"/>
      <c r="E79" s="27"/>
      <c r="F79" s="27"/>
      <c r="G79" s="27"/>
      <c r="H79" s="27"/>
      <c r="I79" s="27"/>
      <c r="J79" s="27"/>
      <c r="K79" s="27"/>
      <c r="L79" s="28"/>
      <c r="M79" s="27"/>
    </row>
    <row r="80" spans="1:13" x14ac:dyDescent="0.25">
      <c r="A80" s="27"/>
      <c r="B80" s="27"/>
      <c r="C80" s="27"/>
      <c r="D80" s="27"/>
      <c r="E80" s="27"/>
      <c r="F80" s="27"/>
      <c r="G80" s="27"/>
      <c r="H80" s="27"/>
      <c r="I80" s="27"/>
      <c r="J80" s="27"/>
      <c r="K80" s="27"/>
      <c r="L80" s="28"/>
      <c r="M80" s="27"/>
    </row>
    <row r="81" spans="1:13" x14ac:dyDescent="0.25">
      <c r="A81" s="27"/>
      <c r="B81" s="27"/>
      <c r="C81" s="27"/>
      <c r="D81" s="27"/>
      <c r="E81" s="27"/>
      <c r="F81" s="27"/>
      <c r="G81" s="27"/>
      <c r="H81" s="27"/>
      <c r="I81" s="27"/>
      <c r="J81" s="27"/>
      <c r="K81" s="27"/>
      <c r="L81" s="28"/>
      <c r="M81" s="27"/>
    </row>
    <row r="82" spans="1:13" x14ac:dyDescent="0.25">
      <c r="A82" s="27"/>
      <c r="B82" s="27"/>
      <c r="C82" s="27"/>
      <c r="D82" s="27"/>
      <c r="E82" s="27"/>
      <c r="F82" s="27"/>
      <c r="G82" s="27"/>
      <c r="H82" s="27"/>
      <c r="I82" s="27"/>
      <c r="J82" s="27"/>
      <c r="K82" s="27"/>
      <c r="L82" s="28"/>
      <c r="M82" s="27"/>
    </row>
    <row r="83" spans="1:13" x14ac:dyDescent="0.25">
      <c r="A83" s="27"/>
      <c r="B83" s="27"/>
      <c r="C83" s="27"/>
      <c r="D83" s="27"/>
      <c r="E83" s="27"/>
      <c r="F83" s="27"/>
      <c r="G83" s="27"/>
      <c r="H83" s="27"/>
      <c r="I83" s="27"/>
      <c r="J83" s="27"/>
      <c r="K83" s="27"/>
      <c r="L83" s="28"/>
      <c r="M83" s="27"/>
    </row>
    <row r="84" spans="1:13" x14ac:dyDescent="0.25">
      <c r="A84" s="27"/>
      <c r="B84" s="27"/>
      <c r="C84" s="27"/>
      <c r="D84" s="27"/>
      <c r="E84" s="27"/>
      <c r="F84" s="27"/>
      <c r="G84" s="27"/>
      <c r="H84" s="27"/>
      <c r="I84" s="27"/>
      <c r="J84" s="27"/>
      <c r="K84" s="27"/>
      <c r="L84" s="28"/>
      <c r="M84" s="27"/>
    </row>
    <row r="85" spans="1:13" x14ac:dyDescent="0.25">
      <c r="A85" s="27"/>
      <c r="B85" s="27"/>
      <c r="C85" s="27"/>
      <c r="D85" s="27"/>
      <c r="E85" s="27"/>
      <c r="F85" s="27"/>
      <c r="G85" s="27"/>
      <c r="H85" s="27"/>
      <c r="I85" s="27"/>
      <c r="J85" s="27"/>
      <c r="K85" s="27"/>
      <c r="L85" s="28"/>
      <c r="M85" s="27"/>
    </row>
    <row r="86" spans="1:13" x14ac:dyDescent="0.25">
      <c r="A86" s="27"/>
      <c r="B86" s="27"/>
      <c r="C86" s="27"/>
      <c r="D86" s="27"/>
      <c r="E86" s="27"/>
      <c r="F86" s="27"/>
      <c r="G86" s="27"/>
      <c r="H86" s="27"/>
      <c r="I86" s="27"/>
      <c r="J86" s="27"/>
      <c r="K86" s="27"/>
      <c r="L86" s="28"/>
      <c r="M86" s="27"/>
    </row>
    <row r="87" spans="1:13" x14ac:dyDescent="0.25">
      <c r="A87" s="27"/>
      <c r="B87" s="27"/>
      <c r="C87" s="27"/>
      <c r="D87" s="27"/>
      <c r="E87" s="27"/>
      <c r="F87" s="27"/>
      <c r="G87" s="27"/>
      <c r="H87" s="27"/>
      <c r="I87" s="27"/>
      <c r="J87" s="27"/>
      <c r="K87" s="27"/>
      <c r="L87" s="28"/>
      <c r="M87" s="27"/>
    </row>
    <row r="88" spans="1:13" x14ac:dyDescent="0.25">
      <c r="A88" s="27"/>
      <c r="B88" s="27"/>
      <c r="C88" s="27"/>
      <c r="D88" s="27"/>
      <c r="E88" s="27"/>
      <c r="F88" s="27"/>
      <c r="G88" s="27"/>
      <c r="H88" s="27"/>
      <c r="I88" s="27"/>
      <c r="J88" s="27"/>
      <c r="K88" s="27"/>
      <c r="L88" s="28"/>
      <c r="M88" s="27"/>
    </row>
    <row r="89" spans="1:13" x14ac:dyDescent="0.25">
      <c r="A89" s="27"/>
      <c r="B89" s="27"/>
      <c r="C89" s="27"/>
      <c r="D89" s="27"/>
      <c r="E89" s="27"/>
      <c r="F89" s="27"/>
      <c r="G89" s="27"/>
      <c r="H89" s="27"/>
      <c r="I89" s="27"/>
      <c r="J89" s="27"/>
      <c r="K89" s="27"/>
      <c r="L89" s="28"/>
      <c r="M89" s="27"/>
    </row>
    <row r="90" spans="1:13" x14ac:dyDescent="0.25">
      <c r="A90" s="27"/>
      <c r="B90" s="27"/>
      <c r="C90" s="27"/>
      <c r="D90" s="27"/>
      <c r="E90" s="27"/>
      <c r="F90" s="27"/>
      <c r="G90" s="27"/>
      <c r="H90" s="27"/>
      <c r="I90" s="27"/>
      <c r="J90" s="27"/>
      <c r="K90" s="27"/>
      <c r="L90" s="28"/>
      <c r="M90" s="27"/>
    </row>
    <row r="91" spans="1:13" x14ac:dyDescent="0.25">
      <c r="A91" s="27"/>
      <c r="B91" s="27"/>
      <c r="C91" s="27"/>
      <c r="D91" s="27"/>
      <c r="E91" s="27"/>
      <c r="F91" s="27"/>
      <c r="G91" s="27"/>
      <c r="H91" s="27"/>
      <c r="I91" s="27"/>
      <c r="J91" s="27"/>
      <c r="K91" s="27"/>
      <c r="L91" s="28"/>
      <c r="M91" s="27"/>
    </row>
    <row r="92" spans="1:13" x14ac:dyDescent="0.25">
      <c r="A92" s="27"/>
      <c r="B92" s="27"/>
      <c r="C92" s="27"/>
      <c r="D92" s="27"/>
      <c r="E92" s="27"/>
      <c r="F92" s="27"/>
      <c r="G92" s="27"/>
      <c r="H92" s="27"/>
      <c r="I92" s="27"/>
      <c r="J92" s="27"/>
      <c r="K92" s="27"/>
      <c r="L92" s="28"/>
      <c r="M92" s="27"/>
    </row>
    <row r="93" spans="1:13" x14ac:dyDescent="0.25">
      <c r="A93" s="27"/>
      <c r="B93" s="27"/>
      <c r="C93" s="27"/>
      <c r="D93" s="27"/>
      <c r="E93" s="27"/>
      <c r="F93" s="27"/>
      <c r="G93" s="27"/>
      <c r="H93" s="27"/>
      <c r="I93" s="27"/>
      <c r="J93" s="27"/>
      <c r="K93" s="27"/>
      <c r="L93" s="28"/>
      <c r="M93" s="27"/>
    </row>
    <row r="94" spans="1:13" x14ac:dyDescent="0.25">
      <c r="A94" s="27"/>
      <c r="B94" s="27"/>
      <c r="C94" s="27"/>
      <c r="D94" s="27"/>
      <c r="E94" s="27"/>
      <c r="F94" s="27"/>
      <c r="G94" s="27"/>
      <c r="H94" s="27"/>
      <c r="I94" s="27"/>
      <c r="J94" s="27"/>
      <c r="K94" s="27"/>
      <c r="L94" s="28"/>
      <c r="M94" s="27"/>
    </row>
    <row r="95" spans="1:13" x14ac:dyDescent="0.25">
      <c r="A95" s="27"/>
      <c r="B95" s="27"/>
      <c r="C95" s="27"/>
      <c r="D95" s="27"/>
      <c r="E95" s="27"/>
      <c r="F95" s="27"/>
      <c r="G95" s="27"/>
      <c r="H95" s="27"/>
      <c r="I95" s="27"/>
      <c r="J95" s="27"/>
      <c r="K95" s="27"/>
      <c r="L95" s="28"/>
      <c r="M95" s="27"/>
    </row>
    <row r="96" spans="1:13" x14ac:dyDescent="0.25">
      <c r="A96" s="27"/>
      <c r="B96" s="27"/>
      <c r="C96" s="27"/>
      <c r="D96" s="27"/>
      <c r="E96" s="27"/>
      <c r="F96" s="27"/>
      <c r="G96" s="27"/>
      <c r="H96" s="27"/>
      <c r="I96" s="27"/>
      <c r="J96" s="27"/>
      <c r="K96" s="27"/>
      <c r="L96" s="28"/>
      <c r="M96" s="27"/>
    </row>
    <row r="97" spans="1:13" x14ac:dyDescent="0.25">
      <c r="A97" s="27"/>
      <c r="B97" s="27"/>
      <c r="C97" s="27"/>
      <c r="D97" s="27"/>
      <c r="E97" s="27"/>
      <c r="F97" s="27"/>
      <c r="G97" s="27"/>
      <c r="H97" s="27"/>
      <c r="I97" s="27"/>
      <c r="J97" s="27"/>
      <c r="K97" s="27"/>
      <c r="L97" s="28"/>
      <c r="M97" s="27"/>
    </row>
    <row r="98" spans="1:13" x14ac:dyDescent="0.25">
      <c r="A98" s="27"/>
      <c r="B98" s="27"/>
      <c r="C98" s="27"/>
      <c r="D98" s="27"/>
      <c r="E98" s="27"/>
      <c r="F98" s="27"/>
      <c r="G98" s="27"/>
      <c r="H98" s="27"/>
      <c r="I98" s="27"/>
      <c r="J98" s="27"/>
      <c r="K98" s="27"/>
      <c r="L98" s="28"/>
      <c r="M98" s="27"/>
    </row>
    <row r="99" spans="1:13" x14ac:dyDescent="0.25">
      <c r="A99" s="27"/>
      <c r="B99" s="27"/>
      <c r="C99" s="27"/>
      <c r="D99" s="27"/>
      <c r="E99" s="27"/>
      <c r="F99" s="27"/>
      <c r="G99" s="27"/>
      <c r="H99" s="27"/>
      <c r="I99" s="27"/>
      <c r="J99" s="27"/>
      <c r="K99" s="27"/>
      <c r="L99" s="28"/>
      <c r="M99" s="27"/>
    </row>
    <row r="100" spans="1:13" x14ac:dyDescent="0.25">
      <c r="A100" s="27"/>
      <c r="B100" s="27"/>
      <c r="C100" s="27"/>
      <c r="D100" s="27"/>
      <c r="E100" s="27"/>
      <c r="F100" s="27"/>
      <c r="G100" s="27"/>
      <c r="H100" s="27"/>
      <c r="I100" s="27"/>
      <c r="J100" s="27"/>
      <c r="K100" s="27"/>
      <c r="L100" s="28"/>
      <c r="M100" s="27"/>
    </row>
    <row r="101" spans="1:13" x14ac:dyDescent="0.25">
      <c r="A101" s="27"/>
      <c r="B101" s="27"/>
      <c r="C101" s="27"/>
      <c r="D101" s="27"/>
      <c r="E101" s="27"/>
      <c r="F101" s="27"/>
      <c r="G101" s="27"/>
      <c r="H101" s="27"/>
      <c r="I101" s="27"/>
      <c r="J101" s="27"/>
      <c r="K101" s="27"/>
      <c r="L101" s="28"/>
      <c r="M101" s="27"/>
    </row>
    <row r="102" spans="1:13" x14ac:dyDescent="0.25">
      <c r="A102" s="27"/>
      <c r="B102" s="27"/>
      <c r="C102" s="27"/>
      <c r="D102" s="27"/>
      <c r="E102" s="27"/>
      <c r="F102" s="27"/>
      <c r="G102" s="27"/>
      <c r="H102" s="27"/>
      <c r="I102" s="27"/>
      <c r="J102" s="27"/>
      <c r="K102" s="27"/>
      <c r="L102" s="28"/>
      <c r="M102" s="27"/>
    </row>
    <row r="103" spans="1:13" x14ac:dyDescent="0.25">
      <c r="A103" s="27"/>
      <c r="B103" s="27"/>
      <c r="C103" s="27"/>
      <c r="D103" s="27"/>
      <c r="E103" s="27"/>
      <c r="F103" s="27"/>
      <c r="G103" s="27"/>
      <c r="H103" s="27"/>
      <c r="I103" s="27"/>
      <c r="J103" s="27"/>
      <c r="K103" s="27"/>
      <c r="L103" s="28"/>
      <c r="M103" s="27"/>
    </row>
    <row r="104" spans="1:13" x14ac:dyDescent="0.25">
      <c r="A104" s="27"/>
      <c r="B104" s="27"/>
      <c r="C104" s="27"/>
      <c r="D104" s="27"/>
      <c r="E104" s="27"/>
      <c r="F104" s="27"/>
      <c r="G104" s="27"/>
      <c r="H104" s="27"/>
      <c r="I104" s="27"/>
      <c r="J104" s="27"/>
      <c r="K104" s="27"/>
      <c r="L104" s="28"/>
      <c r="M104" s="27"/>
    </row>
    <row r="105" spans="1:13" x14ac:dyDescent="0.25">
      <c r="A105" s="27"/>
      <c r="B105" s="27"/>
      <c r="C105" s="27"/>
      <c r="D105" s="27"/>
      <c r="E105" s="27"/>
      <c r="F105" s="27"/>
      <c r="G105" s="27"/>
      <c r="H105" s="27"/>
      <c r="I105" s="27"/>
      <c r="J105" s="27"/>
      <c r="K105" s="27"/>
      <c r="L105" s="28"/>
      <c r="M105" s="27"/>
    </row>
    <row r="106" spans="1:13" x14ac:dyDescent="0.25">
      <c r="A106" s="27"/>
      <c r="B106" s="27"/>
      <c r="C106" s="27"/>
      <c r="D106" s="27"/>
      <c r="E106" s="27"/>
      <c r="F106" s="27"/>
      <c r="G106" s="27"/>
      <c r="H106" s="27"/>
      <c r="I106" s="27"/>
      <c r="J106" s="27"/>
      <c r="K106" s="27"/>
      <c r="L106" s="28"/>
      <c r="M106" s="27"/>
    </row>
    <row r="107" spans="1:13" x14ac:dyDescent="0.25">
      <c r="A107" s="27"/>
      <c r="B107" s="27"/>
      <c r="C107" s="27"/>
      <c r="D107" s="27"/>
      <c r="E107" s="27"/>
      <c r="F107" s="27"/>
      <c r="G107" s="27"/>
      <c r="H107" s="27"/>
      <c r="I107" s="27"/>
      <c r="J107" s="27"/>
      <c r="K107" s="27"/>
      <c r="L107" s="28"/>
      <c r="M107" s="27"/>
    </row>
    <row r="108" spans="1:13" x14ac:dyDescent="0.25">
      <c r="A108" s="27"/>
      <c r="B108" s="27"/>
      <c r="C108" s="27"/>
      <c r="D108" s="27"/>
      <c r="E108" s="27"/>
      <c r="F108" s="27"/>
      <c r="G108" s="27"/>
      <c r="H108" s="27"/>
      <c r="I108" s="27"/>
      <c r="J108" s="27"/>
      <c r="K108" s="27"/>
      <c r="L108" s="28"/>
      <c r="M108" s="27"/>
    </row>
    <row r="109" spans="1:13" x14ac:dyDescent="0.25">
      <c r="A109" s="27"/>
      <c r="B109" s="27"/>
      <c r="C109" s="27"/>
      <c r="D109" s="27"/>
      <c r="E109" s="27"/>
      <c r="F109" s="27"/>
      <c r="G109" s="27"/>
      <c r="H109" s="27"/>
      <c r="I109" s="27"/>
      <c r="J109" s="27"/>
      <c r="K109" s="27"/>
      <c r="L109" s="28"/>
      <c r="M109" s="27"/>
    </row>
    <row r="110" spans="1:13" x14ac:dyDescent="0.25">
      <c r="A110" s="27"/>
      <c r="B110" s="27"/>
      <c r="C110" s="27"/>
      <c r="D110" s="27"/>
      <c r="E110" s="27"/>
      <c r="F110" s="27"/>
      <c r="G110" s="27"/>
      <c r="H110" s="27"/>
      <c r="I110" s="27"/>
      <c r="J110" s="27"/>
      <c r="K110" s="27"/>
      <c r="L110" s="28"/>
      <c r="M110" s="27"/>
    </row>
    <row r="111" spans="1:13" x14ac:dyDescent="0.25">
      <c r="A111" s="27"/>
      <c r="B111" s="27"/>
      <c r="C111" s="27"/>
      <c r="D111" s="27"/>
      <c r="E111" s="27"/>
      <c r="F111" s="27"/>
      <c r="G111" s="27"/>
      <c r="H111" s="27"/>
      <c r="I111" s="27"/>
      <c r="J111" s="27"/>
      <c r="K111" s="27"/>
      <c r="L111" s="28"/>
      <c r="M111" s="27"/>
    </row>
    <row r="112" spans="1:13" x14ac:dyDescent="0.25">
      <c r="A112" s="27"/>
      <c r="B112" s="27"/>
      <c r="C112" s="27"/>
      <c r="D112" s="27"/>
      <c r="E112" s="27"/>
      <c r="F112" s="27"/>
      <c r="G112" s="27"/>
      <c r="H112" s="27"/>
      <c r="I112" s="27"/>
      <c r="J112" s="27"/>
      <c r="K112" s="27"/>
      <c r="L112" s="28"/>
      <c r="M112" s="27"/>
    </row>
    <row r="113" spans="1:13" x14ac:dyDescent="0.25">
      <c r="A113" s="27"/>
      <c r="B113" s="27"/>
      <c r="C113" s="27"/>
      <c r="D113" s="27"/>
      <c r="E113" s="27"/>
      <c r="F113" s="27"/>
      <c r="G113" s="27"/>
      <c r="H113" s="27"/>
      <c r="I113" s="27"/>
      <c r="J113" s="27"/>
      <c r="K113" s="27"/>
      <c r="L113" s="28"/>
      <c r="M113" s="27"/>
    </row>
    <row r="114" spans="1:13" x14ac:dyDescent="0.25">
      <c r="A114" s="27"/>
      <c r="B114" s="27"/>
      <c r="C114" s="27"/>
      <c r="D114" s="27"/>
      <c r="E114" s="27"/>
      <c r="F114" s="27"/>
      <c r="G114" s="27"/>
      <c r="H114" s="27"/>
      <c r="I114" s="27"/>
      <c r="J114" s="27"/>
      <c r="K114" s="27"/>
      <c r="L114" s="28"/>
      <c r="M114" s="27"/>
    </row>
    <row r="115" spans="1:13" x14ac:dyDescent="0.25">
      <c r="A115" s="27"/>
      <c r="B115" s="27"/>
      <c r="C115" s="27"/>
      <c r="D115" s="27"/>
      <c r="E115" s="27"/>
      <c r="F115" s="27"/>
      <c r="G115" s="27"/>
      <c r="H115" s="27"/>
      <c r="I115" s="27"/>
      <c r="J115" s="27"/>
      <c r="K115" s="27"/>
      <c r="L115" s="28"/>
      <c r="M115" s="27"/>
    </row>
    <row r="116" spans="1:13" x14ac:dyDescent="0.25">
      <c r="A116" s="27"/>
      <c r="B116" s="27"/>
      <c r="C116" s="27"/>
      <c r="D116" s="27"/>
      <c r="E116" s="27"/>
      <c r="F116" s="27"/>
      <c r="G116" s="27"/>
      <c r="H116" s="27"/>
      <c r="I116" s="27"/>
      <c r="J116" s="27"/>
      <c r="K116" s="27"/>
      <c r="L116" s="28"/>
      <c r="M116" s="27"/>
    </row>
    <row r="117" spans="1:13" x14ac:dyDescent="0.25">
      <c r="A117" s="27"/>
      <c r="B117" s="27"/>
      <c r="C117" s="27"/>
      <c r="D117" s="27"/>
      <c r="E117" s="27"/>
      <c r="F117" s="27"/>
      <c r="G117" s="27"/>
      <c r="H117" s="27"/>
      <c r="I117" s="27"/>
      <c r="J117" s="27"/>
      <c r="K117" s="27"/>
      <c r="L117" s="28"/>
      <c r="M117" s="27"/>
    </row>
    <row r="118" spans="1:13" x14ac:dyDescent="0.25">
      <c r="A118" s="27"/>
      <c r="B118" s="27"/>
      <c r="C118" s="27"/>
      <c r="D118" s="27"/>
      <c r="E118" s="27"/>
      <c r="F118" s="27"/>
      <c r="G118" s="27"/>
      <c r="H118" s="27"/>
      <c r="I118" s="27"/>
      <c r="J118" s="27"/>
      <c r="K118" s="27"/>
      <c r="L118" s="28"/>
      <c r="M118" s="27"/>
    </row>
    <row r="119" spans="1:13" x14ac:dyDescent="0.25">
      <c r="A119" s="27"/>
      <c r="B119" s="27"/>
      <c r="C119" s="27"/>
      <c r="D119" s="27"/>
      <c r="E119" s="27"/>
      <c r="F119" s="27"/>
      <c r="G119" s="27"/>
      <c r="H119" s="27"/>
      <c r="I119" s="27"/>
      <c r="J119" s="27"/>
      <c r="K119" s="27"/>
      <c r="L119" s="28"/>
      <c r="M119" s="27"/>
    </row>
    <row r="120" spans="1:13" x14ac:dyDescent="0.25">
      <c r="A120" s="27"/>
      <c r="B120" s="27"/>
      <c r="C120" s="27"/>
      <c r="D120" s="27"/>
      <c r="E120" s="27"/>
      <c r="F120" s="27"/>
      <c r="G120" s="27"/>
      <c r="H120" s="27"/>
      <c r="I120" s="27"/>
      <c r="J120" s="27"/>
      <c r="K120" s="27"/>
      <c r="L120" s="28"/>
      <c r="M120" s="27"/>
    </row>
    <row r="121" spans="1:13" x14ac:dyDescent="0.25">
      <c r="A121" s="27"/>
      <c r="B121" s="27"/>
      <c r="C121" s="27"/>
      <c r="D121" s="27"/>
      <c r="E121" s="27"/>
      <c r="F121" s="27"/>
      <c r="G121" s="27"/>
      <c r="H121" s="27"/>
      <c r="I121" s="27"/>
      <c r="J121" s="27"/>
      <c r="K121" s="27"/>
      <c r="L121" s="28"/>
      <c r="M121" s="27"/>
    </row>
    <row r="122" spans="1:13" x14ac:dyDescent="0.25">
      <c r="A122" s="27"/>
      <c r="B122" s="27"/>
      <c r="C122" s="27"/>
      <c r="D122" s="27"/>
      <c r="E122" s="27"/>
      <c r="F122" s="27"/>
      <c r="G122" s="27"/>
      <c r="H122" s="27"/>
      <c r="I122" s="27"/>
      <c r="J122" s="27"/>
      <c r="K122" s="27"/>
      <c r="L122" s="28"/>
      <c r="M122" s="27"/>
    </row>
    <row r="123" spans="1:13" x14ac:dyDescent="0.25">
      <c r="A123" s="27"/>
      <c r="B123" s="27"/>
      <c r="C123" s="27"/>
      <c r="D123" s="27"/>
      <c r="E123" s="27"/>
      <c r="F123" s="27"/>
      <c r="G123" s="27"/>
      <c r="H123" s="27"/>
      <c r="I123" s="27"/>
      <c r="J123" s="27"/>
      <c r="K123" s="27"/>
      <c r="L123" s="28"/>
      <c r="M123" s="27"/>
    </row>
    <row r="124" spans="1:13" x14ac:dyDescent="0.25">
      <c r="A124" s="27"/>
      <c r="B124" s="27"/>
      <c r="C124" s="27"/>
      <c r="D124" s="27"/>
      <c r="E124" s="27"/>
      <c r="F124" s="27"/>
      <c r="G124" s="27"/>
      <c r="H124" s="27"/>
      <c r="I124" s="27"/>
      <c r="J124" s="27"/>
      <c r="K124" s="27"/>
      <c r="L124" s="28"/>
      <c r="M124" s="27"/>
    </row>
    <row r="125" spans="1:13" x14ac:dyDescent="0.25">
      <c r="A125" s="27"/>
      <c r="B125" s="27"/>
      <c r="C125" s="27"/>
      <c r="D125" s="27"/>
      <c r="E125" s="27"/>
      <c r="F125" s="27"/>
      <c r="G125" s="27"/>
      <c r="H125" s="27"/>
      <c r="I125" s="27"/>
      <c r="J125" s="27"/>
      <c r="K125" s="27"/>
      <c r="L125" s="28"/>
      <c r="M125" s="27"/>
    </row>
    <row r="126" spans="1:13" x14ac:dyDescent="0.25">
      <c r="A126" s="27"/>
      <c r="B126" s="27"/>
      <c r="C126" s="27"/>
      <c r="D126" s="27"/>
      <c r="E126" s="27"/>
      <c r="F126" s="27"/>
      <c r="G126" s="27"/>
      <c r="H126" s="27"/>
      <c r="I126" s="27"/>
      <c r="J126" s="27"/>
      <c r="K126" s="27"/>
      <c r="L126" s="28"/>
      <c r="M126" s="27"/>
    </row>
    <row r="127" spans="1:13" x14ac:dyDescent="0.25">
      <c r="A127" s="27"/>
      <c r="B127" s="27"/>
      <c r="C127" s="27"/>
      <c r="D127" s="27"/>
      <c r="E127" s="27"/>
      <c r="F127" s="27"/>
      <c r="G127" s="27"/>
      <c r="H127" s="27"/>
      <c r="I127" s="27"/>
      <c r="J127" s="27"/>
      <c r="K127" s="27"/>
      <c r="L127" s="28"/>
      <c r="M127" s="27"/>
    </row>
    <row r="128" spans="1:13" x14ac:dyDescent="0.25">
      <c r="A128" s="27"/>
      <c r="B128" s="27"/>
      <c r="C128" s="27"/>
      <c r="D128" s="27"/>
      <c r="E128" s="27"/>
      <c r="F128" s="27"/>
      <c r="G128" s="27"/>
      <c r="H128" s="27"/>
      <c r="I128" s="27"/>
      <c r="J128" s="27"/>
      <c r="K128" s="27"/>
      <c r="L128" s="28"/>
      <c r="M128" s="27"/>
    </row>
    <row r="129" spans="1:13" x14ac:dyDescent="0.25">
      <c r="A129" s="27"/>
      <c r="B129" s="27"/>
      <c r="C129" s="27"/>
      <c r="D129" s="27"/>
      <c r="E129" s="27"/>
      <c r="F129" s="27"/>
      <c r="G129" s="27"/>
      <c r="H129" s="27"/>
      <c r="I129" s="27"/>
      <c r="J129" s="27"/>
      <c r="K129" s="27"/>
      <c r="L129" s="28"/>
      <c r="M129" s="27"/>
    </row>
    <row r="130" spans="1:13" x14ac:dyDescent="0.25">
      <c r="A130" s="27"/>
      <c r="B130" s="27"/>
      <c r="C130" s="27"/>
      <c r="D130" s="27"/>
      <c r="E130" s="27"/>
      <c r="F130" s="27"/>
      <c r="G130" s="27"/>
      <c r="H130" s="27"/>
      <c r="I130" s="27"/>
      <c r="J130" s="27"/>
      <c r="K130" s="27"/>
      <c r="L130" s="28"/>
      <c r="M130" s="27"/>
    </row>
    <row r="131" spans="1:13" x14ac:dyDescent="0.25">
      <c r="A131" s="27"/>
      <c r="B131" s="27"/>
      <c r="C131" s="27"/>
      <c r="D131" s="27"/>
      <c r="E131" s="27"/>
      <c r="F131" s="27"/>
      <c r="G131" s="27"/>
      <c r="H131" s="27"/>
      <c r="I131" s="27"/>
      <c r="J131" s="27"/>
      <c r="K131" s="27"/>
      <c r="L131" s="28"/>
      <c r="M131" s="27"/>
    </row>
    <row r="132" spans="1:13" x14ac:dyDescent="0.25">
      <c r="A132" s="27"/>
      <c r="B132" s="27"/>
      <c r="C132" s="27"/>
      <c r="D132" s="27"/>
      <c r="E132" s="27"/>
      <c r="F132" s="27"/>
      <c r="G132" s="27"/>
      <c r="H132" s="27"/>
      <c r="I132" s="27"/>
      <c r="J132" s="27"/>
      <c r="K132" s="27"/>
      <c r="L132" s="28"/>
      <c r="M132" s="27"/>
    </row>
    <row r="133" spans="1:13" x14ac:dyDescent="0.25">
      <c r="A133" s="27"/>
      <c r="B133" s="27"/>
      <c r="C133" s="27"/>
      <c r="D133" s="27"/>
      <c r="E133" s="27"/>
      <c r="F133" s="27"/>
      <c r="G133" s="27"/>
      <c r="H133" s="27"/>
      <c r="I133" s="27"/>
      <c r="J133" s="27"/>
      <c r="K133" s="27"/>
      <c r="L133" s="28"/>
      <c r="M133" s="27"/>
    </row>
    <row r="134" spans="1:13" x14ac:dyDescent="0.25">
      <c r="A134" s="27"/>
      <c r="B134" s="27"/>
      <c r="C134" s="27"/>
      <c r="D134" s="27"/>
      <c r="E134" s="27"/>
      <c r="F134" s="27"/>
      <c r="G134" s="27"/>
      <c r="H134" s="27"/>
      <c r="I134" s="27"/>
      <c r="J134" s="27"/>
      <c r="K134" s="27"/>
      <c r="L134" s="28"/>
      <c r="M134" s="27"/>
    </row>
    <row r="135" spans="1:13" x14ac:dyDescent="0.25">
      <c r="A135" s="27"/>
      <c r="B135" s="27"/>
      <c r="C135" s="27"/>
      <c r="D135" s="27"/>
      <c r="E135" s="27"/>
      <c r="F135" s="27"/>
      <c r="G135" s="27"/>
      <c r="H135" s="27"/>
      <c r="I135" s="27"/>
      <c r="J135" s="27"/>
      <c r="K135" s="27"/>
      <c r="L135" s="28"/>
      <c r="M135" s="27"/>
    </row>
    <row r="136" spans="1:13" x14ac:dyDescent="0.25">
      <c r="A136" s="27"/>
      <c r="B136" s="27"/>
      <c r="C136" s="27"/>
      <c r="D136" s="27"/>
      <c r="E136" s="27"/>
      <c r="F136" s="27"/>
      <c r="G136" s="27"/>
      <c r="H136" s="27"/>
      <c r="I136" s="27"/>
      <c r="J136" s="27"/>
      <c r="K136" s="27"/>
      <c r="L136" s="28"/>
      <c r="M136" s="27"/>
    </row>
    <row r="137" spans="1:13" x14ac:dyDescent="0.25">
      <c r="A137" s="27"/>
      <c r="B137" s="27"/>
      <c r="C137" s="27"/>
      <c r="D137" s="27"/>
      <c r="E137" s="27"/>
      <c r="F137" s="27"/>
      <c r="G137" s="27"/>
      <c r="H137" s="27"/>
      <c r="I137" s="27"/>
      <c r="J137" s="27"/>
      <c r="K137" s="27"/>
      <c r="L137" s="28"/>
      <c r="M137" s="27"/>
    </row>
    <row r="138" spans="1:13" x14ac:dyDescent="0.25">
      <c r="A138" s="27"/>
      <c r="B138" s="27"/>
      <c r="C138" s="27"/>
      <c r="D138" s="27"/>
      <c r="E138" s="27"/>
      <c r="F138" s="27"/>
      <c r="G138" s="27"/>
      <c r="H138" s="27"/>
      <c r="I138" s="27"/>
      <c r="J138" s="27"/>
      <c r="K138" s="27"/>
      <c r="L138" s="28"/>
      <c r="M138" s="27"/>
    </row>
    <row r="139" spans="1:13" x14ac:dyDescent="0.25">
      <c r="A139" s="27"/>
      <c r="B139" s="27"/>
      <c r="C139" s="27"/>
      <c r="D139" s="27"/>
      <c r="E139" s="27"/>
      <c r="F139" s="27"/>
      <c r="G139" s="27"/>
      <c r="H139" s="27"/>
      <c r="I139" s="27"/>
      <c r="J139" s="27"/>
      <c r="K139" s="27"/>
      <c r="L139" s="28"/>
      <c r="M139" s="27"/>
    </row>
    <row r="140" spans="1:13" x14ac:dyDescent="0.25">
      <c r="A140" s="27"/>
      <c r="B140" s="27"/>
      <c r="C140" s="27"/>
      <c r="D140" s="27"/>
      <c r="E140" s="27"/>
      <c r="F140" s="27"/>
      <c r="G140" s="27"/>
      <c r="H140" s="27"/>
      <c r="I140" s="27"/>
      <c r="J140" s="27"/>
      <c r="K140" s="27"/>
      <c r="L140" s="28"/>
      <c r="M140" s="27"/>
    </row>
    <row r="141" spans="1:13" x14ac:dyDescent="0.25">
      <c r="A141" s="27"/>
      <c r="B141" s="27"/>
      <c r="C141" s="27"/>
      <c r="D141" s="27"/>
      <c r="E141" s="27"/>
      <c r="F141" s="27"/>
      <c r="G141" s="27"/>
      <c r="H141" s="27"/>
      <c r="I141" s="27"/>
      <c r="J141" s="27"/>
      <c r="K141" s="27"/>
      <c r="L141" s="28"/>
      <c r="M141" s="27"/>
    </row>
    <row r="142" spans="1:13" x14ac:dyDescent="0.25">
      <c r="A142" s="27"/>
      <c r="B142" s="27"/>
      <c r="C142" s="27"/>
      <c r="D142" s="27"/>
      <c r="E142" s="27"/>
      <c r="F142" s="27"/>
      <c r="G142" s="27"/>
      <c r="H142" s="27"/>
      <c r="I142" s="27"/>
      <c r="J142" s="27"/>
      <c r="K142" s="27"/>
      <c r="L142" s="28"/>
      <c r="M142" s="27"/>
    </row>
    <row r="143" spans="1:13" x14ac:dyDescent="0.25">
      <c r="A143" s="27"/>
      <c r="B143" s="27"/>
      <c r="C143" s="27"/>
      <c r="D143" s="27"/>
      <c r="E143" s="27"/>
      <c r="F143" s="27"/>
      <c r="G143" s="27"/>
      <c r="H143" s="27"/>
      <c r="I143" s="27"/>
      <c r="J143" s="27"/>
      <c r="K143" s="27"/>
      <c r="L143" s="28"/>
      <c r="M143" s="27"/>
    </row>
    <row r="144" spans="1:13" x14ac:dyDescent="0.25">
      <c r="A144" s="27"/>
      <c r="B144" s="27"/>
      <c r="C144" s="27"/>
      <c r="D144" s="27"/>
      <c r="E144" s="27"/>
      <c r="F144" s="27"/>
      <c r="G144" s="27"/>
      <c r="H144" s="27"/>
      <c r="I144" s="27"/>
      <c r="J144" s="27"/>
      <c r="K144" s="27"/>
      <c r="L144" s="28"/>
      <c r="M144" s="27"/>
    </row>
    <row r="145" spans="1:13" x14ac:dyDescent="0.25">
      <c r="A145" s="27"/>
      <c r="B145" s="27"/>
      <c r="C145" s="27"/>
      <c r="D145" s="27"/>
      <c r="E145" s="27"/>
      <c r="F145" s="27"/>
      <c r="G145" s="27"/>
      <c r="H145" s="27"/>
      <c r="I145" s="27"/>
      <c r="J145" s="27"/>
      <c r="K145" s="27"/>
      <c r="L145" s="28"/>
      <c r="M145" s="27"/>
    </row>
    <row r="146" spans="1:13" x14ac:dyDescent="0.25">
      <c r="A146" s="27"/>
      <c r="B146" s="27"/>
      <c r="C146" s="27"/>
      <c r="D146" s="27"/>
      <c r="E146" s="27"/>
      <c r="F146" s="27"/>
      <c r="G146" s="27"/>
      <c r="H146" s="27"/>
      <c r="I146" s="27"/>
      <c r="J146" s="27"/>
      <c r="K146" s="27"/>
      <c r="L146" s="28"/>
      <c r="M146" s="27"/>
    </row>
    <row r="147" spans="1:13" x14ac:dyDescent="0.25">
      <c r="A147" s="27"/>
      <c r="B147" s="27"/>
      <c r="C147" s="27"/>
      <c r="D147" s="27"/>
      <c r="E147" s="27"/>
      <c r="F147" s="27"/>
      <c r="G147" s="27"/>
      <c r="H147" s="27"/>
      <c r="I147" s="27"/>
      <c r="J147" s="27"/>
      <c r="K147" s="27"/>
      <c r="L147" s="28"/>
      <c r="M147" s="27"/>
    </row>
    <row r="148" spans="1:13" x14ac:dyDescent="0.25">
      <c r="A148" s="27"/>
      <c r="B148" s="27"/>
      <c r="C148" s="27"/>
      <c r="D148" s="27"/>
      <c r="E148" s="27"/>
      <c r="F148" s="27"/>
      <c r="G148" s="27"/>
      <c r="H148" s="27"/>
      <c r="I148" s="27"/>
      <c r="J148" s="27"/>
      <c r="K148" s="27"/>
      <c r="L148" s="28"/>
      <c r="M148" s="27"/>
    </row>
    <row r="149" spans="1:13" x14ac:dyDescent="0.25">
      <c r="A149" s="27"/>
      <c r="B149" s="27"/>
      <c r="C149" s="27"/>
      <c r="D149" s="27"/>
      <c r="E149" s="27"/>
      <c r="F149" s="27"/>
      <c r="G149" s="27"/>
      <c r="H149" s="27"/>
      <c r="I149" s="27"/>
      <c r="J149" s="27"/>
      <c r="K149" s="27"/>
      <c r="L149" s="28"/>
      <c r="M149" s="27"/>
    </row>
    <row r="150" spans="1:13" x14ac:dyDescent="0.25">
      <c r="A150" s="27"/>
      <c r="B150" s="27"/>
      <c r="C150" s="27"/>
      <c r="D150" s="27"/>
      <c r="E150" s="27"/>
      <c r="F150" s="27"/>
      <c r="G150" s="27"/>
      <c r="H150" s="27"/>
      <c r="I150" s="27"/>
      <c r="J150" s="27"/>
      <c r="K150" s="27"/>
      <c r="L150" s="28"/>
      <c r="M150" s="27"/>
    </row>
    <row r="151" spans="1:13" x14ac:dyDescent="0.25">
      <c r="A151" s="27"/>
      <c r="B151" s="27"/>
      <c r="C151" s="27"/>
      <c r="D151" s="27"/>
      <c r="E151" s="27"/>
      <c r="F151" s="27"/>
      <c r="G151" s="27"/>
      <c r="H151" s="27"/>
      <c r="I151" s="27"/>
      <c r="J151" s="27"/>
      <c r="K151" s="27"/>
      <c r="L151" s="28"/>
      <c r="M151" s="27"/>
    </row>
    <row r="152" spans="1:13" x14ac:dyDescent="0.25">
      <c r="A152" s="27"/>
      <c r="B152" s="27"/>
      <c r="C152" s="27"/>
      <c r="D152" s="27"/>
      <c r="E152" s="27"/>
      <c r="F152" s="27"/>
      <c r="G152" s="27"/>
      <c r="H152" s="27"/>
      <c r="I152" s="27"/>
      <c r="J152" s="27"/>
      <c r="K152" s="27"/>
      <c r="L152" s="28"/>
      <c r="M152" s="27"/>
    </row>
    <row r="153" spans="1:13" x14ac:dyDescent="0.25">
      <c r="A153" s="27"/>
      <c r="B153" s="27"/>
      <c r="C153" s="27"/>
      <c r="D153" s="27"/>
      <c r="E153" s="27"/>
      <c r="F153" s="27"/>
      <c r="G153" s="27"/>
      <c r="H153" s="27"/>
      <c r="I153" s="27"/>
      <c r="J153" s="27"/>
      <c r="K153" s="27"/>
      <c r="L153" s="28"/>
      <c r="M153" s="27"/>
    </row>
    <row r="154" spans="1:13" x14ac:dyDescent="0.25">
      <c r="A154" s="27"/>
      <c r="B154" s="27"/>
      <c r="C154" s="27"/>
      <c r="D154" s="27"/>
      <c r="E154" s="27"/>
      <c r="F154" s="27"/>
      <c r="G154" s="27"/>
      <c r="H154" s="27"/>
      <c r="I154" s="27"/>
      <c r="J154" s="27"/>
      <c r="K154" s="27"/>
      <c r="L154" s="28"/>
      <c r="M154" s="27"/>
    </row>
    <row r="155" spans="1:13" x14ac:dyDescent="0.25">
      <c r="A155" s="27"/>
      <c r="B155" s="27"/>
      <c r="C155" s="27"/>
      <c r="D155" s="27"/>
      <c r="E155" s="27"/>
      <c r="F155" s="27"/>
      <c r="G155" s="27"/>
      <c r="H155" s="27"/>
      <c r="I155" s="27"/>
      <c r="J155" s="27"/>
      <c r="K155" s="27"/>
      <c r="L155" s="28"/>
      <c r="M155" s="27"/>
    </row>
    <row r="156" spans="1:13" x14ac:dyDescent="0.25">
      <c r="A156" s="27"/>
      <c r="B156" s="27"/>
      <c r="C156" s="27"/>
      <c r="D156" s="27"/>
      <c r="E156" s="27"/>
      <c r="F156" s="27"/>
      <c r="G156" s="27"/>
      <c r="H156" s="27"/>
      <c r="I156" s="27"/>
      <c r="J156" s="27"/>
      <c r="K156" s="27"/>
      <c r="L156" s="28"/>
      <c r="M156" s="27"/>
    </row>
    <row r="157" spans="1:13" x14ac:dyDescent="0.25">
      <c r="A157" s="27"/>
      <c r="B157" s="27"/>
      <c r="C157" s="27"/>
      <c r="D157" s="27"/>
      <c r="E157" s="27"/>
      <c r="F157" s="27"/>
      <c r="G157" s="27"/>
      <c r="H157" s="27"/>
      <c r="I157" s="27"/>
      <c r="J157" s="27"/>
      <c r="K157" s="27"/>
      <c r="L157" s="28"/>
      <c r="M157" s="27"/>
    </row>
    <row r="158" spans="1:13" x14ac:dyDescent="0.25">
      <c r="A158" s="27"/>
      <c r="B158" s="27"/>
      <c r="C158" s="27"/>
      <c r="D158" s="27"/>
      <c r="E158" s="27"/>
      <c r="F158" s="27"/>
      <c r="G158" s="27"/>
      <c r="H158" s="27"/>
      <c r="I158" s="27"/>
      <c r="J158" s="27"/>
      <c r="K158" s="27"/>
      <c r="L158" s="28"/>
      <c r="M158" s="27"/>
    </row>
    <row r="159" spans="1:13" x14ac:dyDescent="0.25">
      <c r="A159" s="27"/>
      <c r="B159" s="27"/>
      <c r="C159" s="27"/>
      <c r="D159" s="27"/>
      <c r="E159" s="27"/>
      <c r="F159" s="27"/>
      <c r="G159" s="27"/>
      <c r="H159" s="27"/>
      <c r="I159" s="27"/>
      <c r="J159" s="27"/>
      <c r="K159" s="27"/>
      <c r="L159" s="28"/>
      <c r="M159" s="27"/>
    </row>
    <row r="160" spans="1:13" x14ac:dyDescent="0.25">
      <c r="A160" s="27"/>
      <c r="B160" s="27"/>
      <c r="C160" s="27"/>
      <c r="D160" s="27"/>
      <c r="E160" s="27"/>
      <c r="F160" s="27"/>
      <c r="G160" s="27"/>
      <c r="H160" s="27"/>
      <c r="I160" s="27"/>
      <c r="J160" s="27"/>
      <c r="K160" s="27"/>
      <c r="L160" s="28"/>
      <c r="M160" s="27"/>
    </row>
    <row r="161" spans="1:13" x14ac:dyDescent="0.25">
      <c r="A161" s="27"/>
      <c r="B161" s="27"/>
      <c r="C161" s="27"/>
      <c r="D161" s="27"/>
      <c r="E161" s="27"/>
      <c r="F161" s="27"/>
      <c r="G161" s="27"/>
      <c r="H161" s="27"/>
      <c r="I161" s="27"/>
      <c r="J161" s="27"/>
      <c r="K161" s="27"/>
      <c r="L161" s="28"/>
      <c r="M161" s="27"/>
    </row>
    <row r="162" spans="1:13" x14ac:dyDescent="0.25">
      <c r="A162" s="27"/>
      <c r="B162" s="27"/>
      <c r="C162" s="27"/>
      <c r="D162" s="27"/>
      <c r="E162" s="27"/>
      <c r="F162" s="27"/>
      <c r="G162" s="27"/>
      <c r="H162" s="27"/>
      <c r="I162" s="27"/>
      <c r="J162" s="27"/>
      <c r="K162" s="27"/>
      <c r="L162" s="28"/>
      <c r="M162" s="27"/>
    </row>
    <row r="163" spans="1:13" x14ac:dyDescent="0.25">
      <c r="A163" s="27"/>
      <c r="B163" s="27"/>
      <c r="C163" s="27"/>
      <c r="D163" s="27"/>
      <c r="E163" s="27"/>
      <c r="F163" s="27"/>
      <c r="G163" s="27"/>
      <c r="H163" s="27"/>
      <c r="I163" s="27"/>
      <c r="J163" s="27"/>
      <c r="K163" s="27"/>
      <c r="L163" s="28"/>
      <c r="M163" s="27"/>
    </row>
    <row r="164" spans="1:13" x14ac:dyDescent="0.25">
      <c r="A164" s="27"/>
      <c r="B164" s="27"/>
      <c r="C164" s="27"/>
      <c r="D164" s="27"/>
      <c r="E164" s="27"/>
      <c r="F164" s="27"/>
      <c r="G164" s="27"/>
      <c r="H164" s="27"/>
      <c r="I164" s="27"/>
      <c r="J164" s="27"/>
      <c r="K164" s="27"/>
      <c r="L164" s="28"/>
      <c r="M164" s="27"/>
    </row>
    <row r="165" spans="1:13" x14ac:dyDescent="0.25">
      <c r="A165" s="27"/>
      <c r="B165" s="27"/>
      <c r="C165" s="27"/>
      <c r="D165" s="27"/>
      <c r="E165" s="27"/>
      <c r="F165" s="27"/>
      <c r="G165" s="27"/>
      <c r="H165" s="27"/>
      <c r="I165" s="27"/>
      <c r="J165" s="27"/>
      <c r="K165" s="27"/>
      <c r="L165" s="28"/>
      <c r="M165" s="27"/>
    </row>
    <row r="166" spans="1:13" x14ac:dyDescent="0.25">
      <c r="A166" s="27"/>
      <c r="B166" s="27"/>
      <c r="C166" s="27"/>
      <c r="D166" s="27"/>
      <c r="E166" s="27"/>
      <c r="F166" s="27"/>
      <c r="G166" s="27"/>
      <c r="H166" s="27"/>
      <c r="I166" s="27"/>
      <c r="J166" s="27"/>
      <c r="K166" s="27"/>
      <c r="L166" s="28"/>
      <c r="M166" s="27"/>
    </row>
    <row r="167" spans="1:13" x14ac:dyDescent="0.25">
      <c r="A167" s="27"/>
      <c r="B167" s="27"/>
      <c r="C167" s="27"/>
      <c r="D167" s="27"/>
      <c r="E167" s="27"/>
      <c r="F167" s="27"/>
      <c r="G167" s="27"/>
      <c r="H167" s="27"/>
      <c r="I167" s="27"/>
      <c r="J167" s="27"/>
      <c r="K167" s="27"/>
      <c r="L167" s="28"/>
      <c r="M167" s="27"/>
    </row>
    <row r="168" spans="1:13" x14ac:dyDescent="0.25">
      <c r="A168" s="27"/>
      <c r="B168" s="27"/>
      <c r="C168" s="27"/>
      <c r="D168" s="27"/>
      <c r="E168" s="27"/>
      <c r="F168" s="27"/>
      <c r="G168" s="27"/>
      <c r="H168" s="27"/>
      <c r="I168" s="27"/>
      <c r="J168" s="27"/>
      <c r="K168" s="27"/>
      <c r="L168" s="28"/>
      <c r="M168" s="27"/>
    </row>
    <row r="169" spans="1:13" x14ac:dyDescent="0.25">
      <c r="A169" s="27"/>
      <c r="B169" s="27"/>
      <c r="C169" s="27"/>
      <c r="D169" s="27"/>
      <c r="E169" s="27"/>
      <c r="F169" s="27"/>
      <c r="G169" s="27"/>
      <c r="H169" s="27"/>
      <c r="I169" s="27"/>
      <c r="J169" s="27"/>
      <c r="K169" s="27"/>
      <c r="L169" s="28"/>
      <c r="M169" s="27"/>
    </row>
    <row r="170" spans="1:13" x14ac:dyDescent="0.25">
      <c r="A170" s="27"/>
      <c r="B170" s="27"/>
      <c r="C170" s="27"/>
      <c r="D170" s="27"/>
      <c r="E170" s="27"/>
      <c r="F170" s="27"/>
      <c r="G170" s="27"/>
      <c r="H170" s="27"/>
      <c r="I170" s="27"/>
      <c r="J170" s="27"/>
      <c r="K170" s="27"/>
      <c r="L170" s="28"/>
      <c r="M170" s="27"/>
    </row>
    <row r="171" spans="1:13" x14ac:dyDescent="0.25">
      <c r="A171" s="27"/>
      <c r="B171" s="27"/>
      <c r="C171" s="27"/>
      <c r="D171" s="27"/>
      <c r="E171" s="27"/>
      <c r="F171" s="27"/>
      <c r="G171" s="27"/>
      <c r="H171" s="27"/>
      <c r="I171" s="27"/>
      <c r="J171" s="27"/>
      <c r="K171" s="27"/>
      <c r="L171" s="28"/>
      <c r="M171" s="27"/>
    </row>
    <row r="172" spans="1:13" x14ac:dyDescent="0.25">
      <c r="A172" s="27"/>
      <c r="B172" s="27"/>
      <c r="C172" s="27"/>
      <c r="D172" s="27"/>
      <c r="E172" s="27"/>
      <c r="F172" s="27"/>
      <c r="G172" s="27"/>
      <c r="H172" s="27"/>
      <c r="I172" s="27"/>
      <c r="J172" s="27"/>
      <c r="K172" s="27"/>
      <c r="L172" s="28"/>
      <c r="M172" s="27"/>
    </row>
    <row r="173" spans="1:13" x14ac:dyDescent="0.25">
      <c r="A173" s="27"/>
      <c r="B173" s="27"/>
      <c r="C173" s="27"/>
      <c r="D173" s="27"/>
      <c r="E173" s="27"/>
      <c r="F173" s="27"/>
      <c r="G173" s="27"/>
      <c r="H173" s="27"/>
      <c r="I173" s="27"/>
      <c r="J173" s="27"/>
      <c r="K173" s="27"/>
      <c r="L173" s="28"/>
      <c r="M173" s="27"/>
    </row>
    <row r="174" spans="1:13" x14ac:dyDescent="0.25">
      <c r="A174" s="27"/>
      <c r="B174" s="27"/>
      <c r="C174" s="27"/>
      <c r="D174" s="27"/>
      <c r="E174" s="27"/>
      <c r="F174" s="27"/>
      <c r="G174" s="27"/>
      <c r="H174" s="27"/>
      <c r="I174" s="27"/>
      <c r="J174" s="27"/>
      <c r="K174" s="27"/>
      <c r="L174" s="28"/>
      <c r="M174" s="27"/>
    </row>
    <row r="175" spans="1:13" x14ac:dyDescent="0.25">
      <c r="A175" s="27"/>
      <c r="B175" s="27"/>
      <c r="C175" s="27"/>
      <c r="D175" s="27"/>
      <c r="E175" s="27"/>
      <c r="F175" s="27"/>
      <c r="G175" s="27"/>
      <c r="H175" s="27"/>
      <c r="I175" s="27"/>
      <c r="J175" s="27"/>
      <c r="K175" s="27"/>
      <c r="L175" s="28"/>
      <c r="M175" s="27"/>
    </row>
    <row r="176" spans="1:13" x14ac:dyDescent="0.25">
      <c r="A176" s="27"/>
      <c r="B176" s="27"/>
      <c r="C176" s="27"/>
      <c r="D176" s="27"/>
      <c r="E176" s="27"/>
      <c r="F176" s="27"/>
      <c r="G176" s="27"/>
      <c r="H176" s="27"/>
      <c r="I176" s="27"/>
      <c r="J176" s="27"/>
      <c r="K176" s="27"/>
      <c r="L176" s="28"/>
      <c r="M176" s="27"/>
    </row>
    <row r="177" spans="1:13" x14ac:dyDescent="0.25">
      <c r="A177" s="27"/>
      <c r="B177" s="27"/>
      <c r="C177" s="27"/>
      <c r="D177" s="27"/>
      <c r="E177" s="27"/>
      <c r="F177" s="27"/>
      <c r="G177" s="27"/>
      <c r="H177" s="27"/>
      <c r="I177" s="27"/>
      <c r="J177" s="27"/>
      <c r="K177" s="27"/>
      <c r="L177" s="28"/>
      <c r="M177" s="27"/>
    </row>
    <row r="178" spans="1:13" x14ac:dyDescent="0.25">
      <c r="A178" s="27"/>
      <c r="B178" s="27"/>
      <c r="C178" s="27"/>
      <c r="D178" s="27"/>
      <c r="E178" s="27"/>
      <c r="F178" s="27"/>
      <c r="G178" s="27"/>
      <c r="H178" s="27"/>
      <c r="I178" s="27"/>
      <c r="J178" s="27"/>
      <c r="K178" s="27"/>
      <c r="L178" s="28"/>
      <c r="M178" s="27"/>
    </row>
    <row r="179" spans="1:13" x14ac:dyDescent="0.25">
      <c r="A179" s="27"/>
      <c r="B179" s="27"/>
      <c r="C179" s="27"/>
      <c r="D179" s="27"/>
      <c r="E179" s="27"/>
      <c r="F179" s="27"/>
      <c r="G179" s="27"/>
      <c r="H179" s="27"/>
      <c r="I179" s="27"/>
      <c r="J179" s="27"/>
      <c r="K179" s="27"/>
      <c r="L179" s="28"/>
      <c r="M179" s="27"/>
    </row>
    <row r="180" spans="1:13" x14ac:dyDescent="0.25">
      <c r="A180" s="27"/>
      <c r="B180" s="27"/>
      <c r="C180" s="27"/>
      <c r="D180" s="27"/>
      <c r="E180" s="27"/>
      <c r="F180" s="27"/>
      <c r="G180" s="27"/>
      <c r="H180" s="27"/>
      <c r="I180" s="27"/>
      <c r="J180" s="27"/>
      <c r="K180" s="27"/>
      <c r="L180" s="28"/>
      <c r="M180" s="27"/>
    </row>
    <row r="181" spans="1:13" x14ac:dyDescent="0.25">
      <c r="A181" s="27"/>
      <c r="B181" s="27"/>
      <c r="C181" s="27"/>
      <c r="D181" s="27"/>
      <c r="E181" s="27"/>
      <c r="F181" s="27"/>
      <c r="G181" s="27"/>
      <c r="H181" s="27"/>
      <c r="I181" s="27"/>
      <c r="J181" s="27"/>
      <c r="K181" s="27"/>
      <c r="L181" s="28"/>
      <c r="M181" s="27"/>
    </row>
    <row r="182" spans="1:13" x14ac:dyDescent="0.25">
      <c r="A182" s="27"/>
      <c r="B182" s="27"/>
      <c r="C182" s="27"/>
      <c r="D182" s="27"/>
      <c r="E182" s="27"/>
      <c r="F182" s="27"/>
      <c r="G182" s="27"/>
      <c r="H182" s="27"/>
      <c r="I182" s="27"/>
      <c r="J182" s="27"/>
      <c r="K182" s="27"/>
      <c r="L182" s="28"/>
      <c r="M182" s="27"/>
    </row>
    <row r="183" spans="1:13" x14ac:dyDescent="0.25">
      <c r="A183" s="27"/>
      <c r="B183" s="27"/>
      <c r="C183" s="27"/>
      <c r="D183" s="27"/>
      <c r="E183" s="27"/>
      <c r="F183" s="27"/>
      <c r="G183" s="27"/>
      <c r="H183" s="27"/>
      <c r="I183" s="27"/>
      <c r="J183" s="27"/>
      <c r="K183" s="27"/>
      <c r="L183" s="28"/>
      <c r="M183" s="27"/>
    </row>
    <row r="184" spans="1:13" x14ac:dyDescent="0.25">
      <c r="A184" s="27"/>
      <c r="B184" s="27"/>
      <c r="C184" s="27"/>
      <c r="D184" s="27"/>
      <c r="E184" s="27"/>
      <c r="F184" s="27"/>
      <c r="G184" s="27"/>
      <c r="H184" s="27"/>
      <c r="I184" s="27"/>
      <c r="J184" s="27"/>
      <c r="K184" s="27"/>
      <c r="L184" s="28"/>
      <c r="M184" s="27"/>
    </row>
    <row r="185" spans="1:13" x14ac:dyDescent="0.25">
      <c r="A185" s="27"/>
      <c r="B185" s="27"/>
      <c r="C185" s="27"/>
      <c r="D185" s="27"/>
      <c r="E185" s="27"/>
      <c r="F185" s="27"/>
      <c r="G185" s="27"/>
      <c r="H185" s="27"/>
      <c r="I185" s="27"/>
      <c r="J185" s="27"/>
      <c r="K185" s="27"/>
      <c r="L185" s="28"/>
      <c r="M185" s="27"/>
    </row>
    <row r="186" spans="1:13" x14ac:dyDescent="0.25">
      <c r="A186" s="27"/>
      <c r="B186" s="27"/>
      <c r="C186" s="27"/>
      <c r="D186" s="27"/>
      <c r="E186" s="27"/>
      <c r="F186" s="27"/>
      <c r="G186" s="27"/>
      <c r="H186" s="27"/>
      <c r="I186" s="27"/>
      <c r="J186" s="27"/>
      <c r="K186" s="27"/>
      <c r="L186" s="28"/>
      <c r="M186" s="27"/>
    </row>
    <row r="187" spans="1:13" x14ac:dyDescent="0.25">
      <c r="A187" s="27"/>
      <c r="B187" s="27"/>
      <c r="C187" s="27"/>
      <c r="D187" s="27"/>
      <c r="E187" s="27"/>
      <c r="F187" s="27"/>
      <c r="G187" s="27"/>
      <c r="H187" s="27"/>
      <c r="I187" s="27"/>
      <c r="J187" s="27"/>
      <c r="K187" s="27"/>
      <c r="L187" s="28"/>
      <c r="M187" s="27"/>
    </row>
    <row r="188" spans="1:13" x14ac:dyDescent="0.25">
      <c r="A188" s="27"/>
      <c r="B188" s="27"/>
      <c r="C188" s="27"/>
      <c r="D188" s="27"/>
      <c r="E188" s="27"/>
      <c r="F188" s="27"/>
      <c r="G188" s="27"/>
      <c r="H188" s="27"/>
      <c r="I188" s="27"/>
      <c r="J188" s="27"/>
      <c r="K188" s="27"/>
      <c r="L188" s="28"/>
      <c r="M188" s="27"/>
    </row>
    <row r="189" spans="1:13" x14ac:dyDescent="0.25">
      <c r="A189" s="27"/>
      <c r="B189" s="27"/>
      <c r="C189" s="27"/>
      <c r="D189" s="27"/>
      <c r="E189" s="27"/>
      <c r="F189" s="27"/>
      <c r="G189" s="27"/>
      <c r="H189" s="27"/>
      <c r="I189" s="27"/>
      <c r="J189" s="27"/>
      <c r="K189" s="27"/>
      <c r="L189" s="28"/>
      <c r="M189" s="27"/>
    </row>
    <row r="190" spans="1:13" x14ac:dyDescent="0.25">
      <c r="A190" s="27"/>
      <c r="B190" s="27"/>
      <c r="C190" s="27"/>
      <c r="D190" s="27"/>
      <c r="E190" s="27"/>
      <c r="F190" s="27"/>
      <c r="G190" s="27"/>
      <c r="H190" s="27"/>
      <c r="I190" s="27"/>
      <c r="J190" s="27"/>
      <c r="K190" s="27"/>
      <c r="L190" s="28"/>
      <c r="M190" s="27"/>
    </row>
    <row r="191" spans="1:13" x14ac:dyDescent="0.25">
      <c r="A191" s="27"/>
      <c r="B191" s="27"/>
      <c r="C191" s="27"/>
      <c r="D191" s="27"/>
      <c r="E191" s="27"/>
      <c r="F191" s="27"/>
      <c r="G191" s="27"/>
      <c r="H191" s="27"/>
      <c r="I191" s="27"/>
      <c r="J191" s="27"/>
      <c r="K191" s="27"/>
      <c r="L191" s="28"/>
      <c r="M191" s="27"/>
    </row>
    <row r="192" spans="1:13" x14ac:dyDescent="0.25">
      <c r="A192" s="27"/>
      <c r="B192" s="27"/>
      <c r="C192" s="27"/>
      <c r="D192" s="27"/>
      <c r="E192" s="27"/>
      <c r="F192" s="27"/>
      <c r="G192" s="27"/>
      <c r="H192" s="27"/>
      <c r="I192" s="27"/>
      <c r="J192" s="27"/>
      <c r="K192" s="27"/>
      <c r="L192" s="28"/>
      <c r="M192" s="27"/>
    </row>
    <row r="193" spans="1:13" x14ac:dyDescent="0.25">
      <c r="A193" s="27"/>
      <c r="B193" s="27"/>
      <c r="C193" s="27"/>
      <c r="D193" s="27"/>
      <c r="E193" s="27"/>
      <c r="F193" s="27"/>
      <c r="G193" s="27"/>
      <c r="H193" s="27"/>
      <c r="I193" s="27"/>
      <c r="J193" s="27"/>
      <c r="K193" s="27"/>
      <c r="L193" s="28"/>
      <c r="M193" s="27"/>
    </row>
    <row r="194" spans="1:13" x14ac:dyDescent="0.25">
      <c r="A194" s="27"/>
      <c r="B194" s="27"/>
      <c r="C194" s="27"/>
      <c r="D194" s="27"/>
      <c r="E194" s="27"/>
      <c r="F194" s="27"/>
      <c r="G194" s="27"/>
      <c r="H194" s="27"/>
      <c r="I194" s="27"/>
      <c r="J194" s="27"/>
      <c r="K194" s="27"/>
      <c r="L194" s="28"/>
      <c r="M194" s="27"/>
    </row>
    <row r="195" spans="1:13" x14ac:dyDescent="0.25">
      <c r="A195" s="27"/>
      <c r="B195" s="27"/>
      <c r="C195" s="27"/>
      <c r="D195" s="27"/>
      <c r="E195" s="27"/>
      <c r="F195" s="27"/>
      <c r="G195" s="27"/>
      <c r="H195" s="27"/>
      <c r="I195" s="27"/>
      <c r="J195" s="27"/>
      <c r="K195" s="27"/>
      <c r="L195" s="28"/>
      <c r="M195" s="27"/>
    </row>
    <row r="196" spans="1:13" x14ac:dyDescent="0.25">
      <c r="A196" s="27"/>
      <c r="B196" s="27"/>
      <c r="C196" s="27"/>
      <c r="D196" s="27"/>
      <c r="E196" s="27"/>
      <c r="F196" s="27"/>
      <c r="G196" s="27"/>
      <c r="H196" s="27"/>
      <c r="I196" s="27"/>
      <c r="J196" s="27"/>
      <c r="K196" s="27"/>
      <c r="L196" s="28"/>
      <c r="M196" s="27"/>
    </row>
    <row r="197" spans="1:13" x14ac:dyDescent="0.25">
      <c r="A197" s="27"/>
      <c r="B197" s="27"/>
      <c r="C197" s="27"/>
      <c r="D197" s="27"/>
      <c r="E197" s="27"/>
      <c r="F197" s="27"/>
      <c r="G197" s="27"/>
      <c r="H197" s="27"/>
      <c r="I197" s="27"/>
      <c r="J197" s="27"/>
      <c r="K197" s="27"/>
      <c r="L197" s="28"/>
      <c r="M197" s="27"/>
    </row>
    <row r="198" spans="1:13" x14ac:dyDescent="0.25">
      <c r="A198" s="27"/>
      <c r="B198" s="27"/>
      <c r="C198" s="27"/>
      <c r="D198" s="27"/>
      <c r="E198" s="27"/>
      <c r="F198" s="27"/>
      <c r="G198" s="27"/>
      <c r="H198" s="27"/>
      <c r="I198" s="27"/>
      <c r="J198" s="27"/>
      <c r="K198" s="27"/>
      <c r="L198" s="28"/>
      <c r="M198" s="27"/>
    </row>
    <row r="199" spans="1:13" x14ac:dyDescent="0.25">
      <c r="A199" s="27"/>
      <c r="B199" s="27"/>
      <c r="C199" s="27"/>
      <c r="D199" s="27"/>
      <c r="E199" s="27"/>
      <c r="F199" s="27"/>
      <c r="G199" s="27"/>
      <c r="H199" s="27"/>
      <c r="I199" s="27"/>
      <c r="J199" s="27"/>
      <c r="K199" s="27"/>
      <c r="L199" s="28"/>
      <c r="M199" s="27"/>
    </row>
    <row r="200" spans="1:13" x14ac:dyDescent="0.25">
      <c r="A200" s="27"/>
      <c r="B200" s="27"/>
      <c r="C200" s="27"/>
      <c r="D200" s="27"/>
      <c r="E200" s="27"/>
      <c r="F200" s="27"/>
      <c r="G200" s="27"/>
      <c r="H200" s="27"/>
      <c r="I200" s="27"/>
      <c r="J200" s="27"/>
      <c r="K200" s="27"/>
      <c r="L200" s="28"/>
      <c r="M200" s="27"/>
    </row>
    <row r="201" spans="1:13" x14ac:dyDescent="0.25">
      <c r="L201" s="5"/>
    </row>
    <row r="202" spans="1:13" x14ac:dyDescent="0.25">
      <c r="L202" s="5"/>
    </row>
    <row r="203" spans="1:13" x14ac:dyDescent="0.25">
      <c r="L203" s="5"/>
    </row>
    <row r="204" spans="1:13" x14ac:dyDescent="0.25">
      <c r="L204" s="5"/>
    </row>
    <row r="205" spans="1:13" x14ac:dyDescent="0.25">
      <c r="L205" s="5"/>
    </row>
    <row r="206" spans="1:13" x14ac:dyDescent="0.25">
      <c r="L206" s="5"/>
    </row>
    <row r="207" spans="1:13" x14ac:dyDescent="0.25">
      <c r="L207" s="5"/>
    </row>
    <row r="208" spans="1:13" x14ac:dyDescent="0.25">
      <c r="L208" s="5"/>
    </row>
    <row r="209" spans="12:12" x14ac:dyDescent="0.25">
      <c r="L209" s="5"/>
    </row>
    <row r="210" spans="12:12" x14ac:dyDescent="0.25">
      <c r="L210" s="5"/>
    </row>
    <row r="211" spans="12:12" x14ac:dyDescent="0.25">
      <c r="L211" s="5"/>
    </row>
    <row r="212" spans="12:12" x14ac:dyDescent="0.25">
      <c r="L212" s="5"/>
    </row>
    <row r="213" spans="12:12" x14ac:dyDescent="0.25">
      <c r="L213" s="5"/>
    </row>
    <row r="214" spans="12:12" x14ac:dyDescent="0.25">
      <c r="L214" s="5"/>
    </row>
    <row r="215" spans="12:12" x14ac:dyDescent="0.25">
      <c r="L215" s="5"/>
    </row>
    <row r="216" spans="12:12" x14ac:dyDescent="0.25">
      <c r="L216" s="5"/>
    </row>
    <row r="217" spans="12:12" x14ac:dyDescent="0.25">
      <c r="L217" s="5"/>
    </row>
    <row r="218" spans="12:12" x14ac:dyDescent="0.25">
      <c r="L218" s="5"/>
    </row>
    <row r="219" spans="12:12" x14ac:dyDescent="0.25">
      <c r="L219" s="5"/>
    </row>
    <row r="220" spans="12:12" x14ac:dyDescent="0.25">
      <c r="L220" s="5"/>
    </row>
    <row r="221" spans="12:12" x14ac:dyDescent="0.25">
      <c r="L221" s="5"/>
    </row>
    <row r="222" spans="12:12" x14ac:dyDescent="0.25">
      <c r="L222" s="5"/>
    </row>
    <row r="223" spans="12:12" x14ac:dyDescent="0.25">
      <c r="L223" s="5"/>
    </row>
    <row r="224" spans="12:12" x14ac:dyDescent="0.25">
      <c r="L224" s="5"/>
    </row>
    <row r="225" spans="12:12" x14ac:dyDescent="0.25">
      <c r="L225" s="5"/>
    </row>
    <row r="226" spans="12:12" x14ac:dyDescent="0.25">
      <c r="L226" s="5"/>
    </row>
    <row r="227" spans="12:12" x14ac:dyDescent="0.25">
      <c r="L227" s="5"/>
    </row>
    <row r="228" spans="12:12" x14ac:dyDescent="0.25">
      <c r="L228" s="5"/>
    </row>
    <row r="229" spans="12:12" x14ac:dyDescent="0.25">
      <c r="L229" s="5"/>
    </row>
    <row r="230" spans="12:12" x14ac:dyDescent="0.25">
      <c r="L230" s="5"/>
    </row>
    <row r="231" spans="12:12" x14ac:dyDescent="0.25">
      <c r="L231" s="5"/>
    </row>
    <row r="232" spans="12:12" x14ac:dyDescent="0.25">
      <c r="L232" s="5"/>
    </row>
    <row r="233" spans="12:12" x14ac:dyDescent="0.25">
      <c r="L233" s="5"/>
    </row>
    <row r="234" spans="12:12" x14ac:dyDescent="0.25">
      <c r="L234" s="5"/>
    </row>
    <row r="235" spans="12:12" x14ac:dyDescent="0.25">
      <c r="L235" s="5"/>
    </row>
    <row r="236" spans="12:12" x14ac:dyDescent="0.25">
      <c r="L236" s="5"/>
    </row>
    <row r="237" spans="12:12" x14ac:dyDescent="0.25">
      <c r="L237" s="5"/>
    </row>
    <row r="238" spans="12:12" x14ac:dyDescent="0.25">
      <c r="L238" s="5"/>
    </row>
    <row r="239" spans="12:12" x14ac:dyDescent="0.25">
      <c r="L239" s="5"/>
    </row>
    <row r="240" spans="12:12" x14ac:dyDescent="0.25">
      <c r="L240" s="5"/>
    </row>
    <row r="241" spans="12:12" x14ac:dyDescent="0.25">
      <c r="L241" s="5"/>
    </row>
    <row r="242" spans="12:12" x14ac:dyDescent="0.25">
      <c r="L242" s="5"/>
    </row>
    <row r="243" spans="12:12" x14ac:dyDescent="0.25">
      <c r="L243" s="5"/>
    </row>
    <row r="244" spans="12:12" x14ac:dyDescent="0.25">
      <c r="L244" s="5"/>
    </row>
    <row r="245" spans="12:12" x14ac:dyDescent="0.25">
      <c r="L245" s="5"/>
    </row>
    <row r="246" spans="12:12" x14ac:dyDescent="0.25">
      <c r="L246" s="5"/>
    </row>
    <row r="247" spans="12:12" x14ac:dyDescent="0.25">
      <c r="L247" s="5"/>
    </row>
    <row r="248" spans="12:12" x14ac:dyDescent="0.25">
      <c r="L248" s="5"/>
    </row>
    <row r="249" spans="12:12" x14ac:dyDescent="0.25">
      <c r="L249" s="5"/>
    </row>
    <row r="250" spans="12:12" x14ac:dyDescent="0.25">
      <c r="L250" s="5"/>
    </row>
    <row r="251" spans="12:12" x14ac:dyDescent="0.25">
      <c r="L251" s="5"/>
    </row>
    <row r="252" spans="12:12" x14ac:dyDescent="0.25">
      <c r="L252" s="5"/>
    </row>
    <row r="253" spans="12:12" x14ac:dyDescent="0.25">
      <c r="L253" s="5"/>
    </row>
    <row r="254" spans="12:12" x14ac:dyDescent="0.25">
      <c r="L254" s="5"/>
    </row>
    <row r="255" spans="12:12" x14ac:dyDescent="0.25">
      <c r="L255" s="5"/>
    </row>
    <row r="256" spans="12:12" x14ac:dyDescent="0.25">
      <c r="L256" s="5"/>
    </row>
    <row r="257" spans="12:12" x14ac:dyDescent="0.25">
      <c r="L257" s="5"/>
    </row>
    <row r="258" spans="12:12" x14ac:dyDescent="0.25">
      <c r="L258" s="5"/>
    </row>
    <row r="259" spans="12:12" x14ac:dyDescent="0.25">
      <c r="L259" s="5"/>
    </row>
    <row r="260" spans="12:12" x14ac:dyDescent="0.25">
      <c r="L260" s="5"/>
    </row>
    <row r="261" spans="12:12" x14ac:dyDescent="0.25">
      <c r="L261" s="5"/>
    </row>
    <row r="262" spans="12:12" x14ac:dyDescent="0.25">
      <c r="L262" s="5"/>
    </row>
    <row r="263" spans="12:12" x14ac:dyDescent="0.25">
      <c r="L263" s="5"/>
    </row>
    <row r="264" spans="12:12" x14ac:dyDescent="0.25">
      <c r="L264" s="5"/>
    </row>
    <row r="265" spans="12:12" x14ac:dyDescent="0.25">
      <c r="L265" s="5"/>
    </row>
    <row r="266" spans="12:12" x14ac:dyDescent="0.25">
      <c r="L266" s="5"/>
    </row>
    <row r="267" spans="12:12" x14ac:dyDescent="0.25">
      <c r="L267" s="5"/>
    </row>
    <row r="268" spans="12:12" x14ac:dyDescent="0.25">
      <c r="L268" s="5"/>
    </row>
    <row r="269" spans="12:12" x14ac:dyDescent="0.25">
      <c r="L269" s="5"/>
    </row>
    <row r="270" spans="12:12" x14ac:dyDescent="0.25">
      <c r="L270" s="5"/>
    </row>
    <row r="271" spans="12:12" x14ac:dyDescent="0.25">
      <c r="L271" s="5"/>
    </row>
    <row r="272" spans="12:12" x14ac:dyDescent="0.25">
      <c r="L272" s="5"/>
    </row>
    <row r="273" spans="12:12" x14ac:dyDescent="0.25">
      <c r="L273" s="5"/>
    </row>
    <row r="274" spans="12:12" x14ac:dyDescent="0.25">
      <c r="L274" s="5"/>
    </row>
    <row r="275" spans="12:12" x14ac:dyDescent="0.25">
      <c r="L275" s="5"/>
    </row>
    <row r="276" spans="12:12" x14ac:dyDescent="0.25">
      <c r="L276" s="5"/>
    </row>
    <row r="277" spans="12:12" x14ac:dyDescent="0.25">
      <c r="L277" s="5"/>
    </row>
    <row r="278" spans="12:12" x14ac:dyDescent="0.25">
      <c r="L278" s="5"/>
    </row>
    <row r="279" spans="12:12" x14ac:dyDescent="0.25">
      <c r="L279" s="5"/>
    </row>
    <row r="280" spans="12:12" x14ac:dyDescent="0.25">
      <c r="L280" s="5"/>
    </row>
    <row r="281" spans="12:12" x14ac:dyDescent="0.25">
      <c r="L281" s="5"/>
    </row>
    <row r="282" spans="12:12" x14ac:dyDescent="0.25">
      <c r="L282" s="5"/>
    </row>
    <row r="283" spans="12:12" x14ac:dyDescent="0.25">
      <c r="L283" s="5"/>
    </row>
    <row r="284" spans="12:12" x14ac:dyDescent="0.25">
      <c r="L284" s="5"/>
    </row>
    <row r="285" spans="12:12" x14ac:dyDescent="0.25">
      <c r="L285" s="5"/>
    </row>
    <row r="286" spans="12:12" x14ac:dyDescent="0.25">
      <c r="L286" s="5"/>
    </row>
    <row r="287" spans="12:12" x14ac:dyDescent="0.25">
      <c r="L287" s="5"/>
    </row>
    <row r="288" spans="12:12" x14ac:dyDescent="0.25">
      <c r="L288" s="5"/>
    </row>
    <row r="289" spans="12:12" x14ac:dyDescent="0.25">
      <c r="L289" s="5"/>
    </row>
    <row r="290" spans="12:12" x14ac:dyDescent="0.25">
      <c r="L290" s="5"/>
    </row>
    <row r="291" spans="12:12" x14ac:dyDescent="0.25">
      <c r="L291" s="5"/>
    </row>
    <row r="292" spans="12:12" x14ac:dyDescent="0.25">
      <c r="L292" s="5"/>
    </row>
    <row r="293" spans="12:12" x14ac:dyDescent="0.25">
      <c r="L293" s="5"/>
    </row>
    <row r="294" spans="12:12" x14ac:dyDescent="0.25">
      <c r="L294" s="5"/>
    </row>
    <row r="295" spans="12:12" x14ac:dyDescent="0.25">
      <c r="L295" s="5"/>
    </row>
    <row r="296" spans="12:12" x14ac:dyDescent="0.25">
      <c r="L296" s="5"/>
    </row>
    <row r="297" spans="12:12" x14ac:dyDescent="0.25">
      <c r="L297" s="5"/>
    </row>
    <row r="298" spans="12:12" x14ac:dyDescent="0.25">
      <c r="L298" s="5"/>
    </row>
    <row r="299" spans="12:12" x14ac:dyDescent="0.25">
      <c r="L299" s="5"/>
    </row>
    <row r="300" spans="12:12" x14ac:dyDescent="0.25">
      <c r="L300" s="5"/>
    </row>
  </sheetData>
  <mergeCells count="2">
    <mergeCell ref="A2:M2"/>
    <mergeCell ref="A1:M1"/>
  </mergeCells>
  <dataValidations count="4">
    <dataValidation type="list" allowBlank="1" sqref="B6:B300" xr:uid="{00000000-0002-0000-0700-000000000000}">
      <formula1>"Bronze,Silver,Gold"</formula1>
    </dataValidation>
    <dataValidation type="list" allowBlank="1" sqref="E6:E300" xr:uid="{00000000-0002-0000-0700-000001000000}">
      <formula1>"Direct table access,View,Curated extract,Dashboard / BI tool,API,Secure file transfer"</formula1>
    </dataValidation>
    <dataValidation type="list" allowBlank="1" sqref="H6:H300 J6:J300" xr:uid="{00000000-0002-0000-0700-000002000000}">
      <formula1>"Yes,No"</formula1>
    </dataValidation>
    <dataValidation type="list" allowBlank="1" sqref="K6:K300" xr:uid="{00000000-0002-0000-0700-000004000000}">
      <formula1>"Requested,Approved,Approved with Restrictions,Denied,Expired"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200"/>
  <sheetViews>
    <sheetView workbookViewId="0">
      <pane ySplit="3" topLeftCell="A4" activePane="bottomLeft" state="frozen"/>
      <selection pane="bottomLeft"/>
    </sheetView>
  </sheetViews>
  <sheetFormatPr defaultRowHeight="15" x14ac:dyDescent="0.25"/>
  <cols>
    <col min="1" max="2" width="18" style="1" customWidth="1"/>
    <col min="3" max="3" width="12" style="1" customWidth="1"/>
    <col min="4" max="4" width="18" style="1" customWidth="1"/>
    <col min="5" max="5" width="28" style="1" customWidth="1"/>
    <col min="6" max="6" width="24" style="1" customWidth="1"/>
    <col min="7" max="7" width="22" style="1" customWidth="1"/>
    <col min="8" max="8" width="12" style="1" customWidth="1"/>
    <col min="9" max="9" width="24" style="1" customWidth="1"/>
  </cols>
  <sheetData>
    <row r="1" spans="1:52" ht="24" customHeight="1" x14ac:dyDescent="0.25">
      <c r="A1" s="59" t="s">
        <v>425</v>
      </c>
      <c r="B1" s="59"/>
      <c r="C1" s="59"/>
      <c r="D1" s="59"/>
      <c r="E1" s="59"/>
      <c r="F1" s="59"/>
      <c r="G1" s="59"/>
      <c r="H1" s="59"/>
      <c r="I1" s="59"/>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426</v>
      </c>
      <c r="B2" s="57"/>
      <c r="C2" s="57"/>
      <c r="D2" s="57"/>
      <c r="E2" s="57"/>
      <c r="F2" s="57"/>
      <c r="G2" s="57"/>
      <c r="H2" s="57"/>
      <c r="I2" s="58"/>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427</v>
      </c>
      <c r="B3" s="24"/>
      <c r="C3" s="24"/>
      <c r="D3" s="24"/>
      <c r="E3" s="25" t="s">
        <v>428</v>
      </c>
      <c r="F3" s="25"/>
      <c r="G3" s="25"/>
      <c r="H3" s="26" t="s">
        <v>429</v>
      </c>
      <c r="I3" s="26"/>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59</v>
      </c>
      <c r="B4" s="49" t="s">
        <v>394</v>
      </c>
      <c r="C4" s="49" t="s">
        <v>430</v>
      </c>
      <c r="D4" s="49" t="s">
        <v>431</v>
      </c>
      <c r="E4" s="49" t="s">
        <v>432</v>
      </c>
      <c r="F4" s="49" t="s">
        <v>433</v>
      </c>
      <c r="G4" s="49" t="s">
        <v>434</v>
      </c>
      <c r="H4" s="49" t="s">
        <v>66</v>
      </c>
      <c r="I4" s="49" t="s">
        <v>67</v>
      </c>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435</v>
      </c>
      <c r="B5" s="23" t="s">
        <v>436</v>
      </c>
      <c r="C5" s="23" t="s">
        <v>437</v>
      </c>
      <c r="D5" s="23" t="s">
        <v>438</v>
      </c>
      <c r="E5" s="23" t="s">
        <v>439</v>
      </c>
      <c r="F5" s="23" t="s">
        <v>440</v>
      </c>
      <c r="G5" s="23" t="s">
        <v>441</v>
      </c>
      <c r="H5" s="23" t="s">
        <v>442</v>
      </c>
      <c r="I5" s="23" t="s">
        <v>443</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54" x14ac:dyDescent="0.25">
      <c r="A6" s="27" t="s">
        <v>444</v>
      </c>
      <c r="B6" s="27" t="s">
        <v>181</v>
      </c>
      <c r="C6" s="27" t="s">
        <v>356</v>
      </c>
      <c r="D6" s="27" t="s">
        <v>137</v>
      </c>
      <c r="E6" s="27" t="s">
        <v>445</v>
      </c>
      <c r="F6" s="27" t="s">
        <v>446</v>
      </c>
      <c r="G6" s="27" t="s">
        <v>447</v>
      </c>
      <c r="H6" s="27" t="s">
        <v>448</v>
      </c>
      <c r="I6" s="27" t="s">
        <v>449</v>
      </c>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54" x14ac:dyDescent="0.25">
      <c r="A7" s="27" t="s">
        <v>444</v>
      </c>
      <c r="B7" s="27" t="s">
        <v>181</v>
      </c>
      <c r="C7" s="27" t="s">
        <v>357</v>
      </c>
      <c r="D7" s="27" t="s">
        <v>138</v>
      </c>
      <c r="E7" s="27" t="s">
        <v>450</v>
      </c>
      <c r="F7" s="27" t="s">
        <v>451</v>
      </c>
      <c r="G7" s="27" t="s">
        <v>452</v>
      </c>
      <c r="H7" s="27" t="s">
        <v>448</v>
      </c>
      <c r="I7" s="27" t="s">
        <v>453</v>
      </c>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7"/>
      <c r="D8" s="27"/>
      <c r="E8" s="27"/>
      <c r="F8" s="27"/>
      <c r="G8" s="27"/>
      <c r="H8" s="27"/>
      <c r="I8" s="27"/>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7"/>
      <c r="D9" s="27"/>
      <c r="E9" s="27"/>
      <c r="F9" s="27"/>
      <c r="G9" s="27"/>
      <c r="H9" s="27"/>
      <c r="I9" s="27"/>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7"/>
      <c r="D10" s="27"/>
      <c r="E10" s="27"/>
      <c r="F10" s="27"/>
      <c r="G10" s="27"/>
      <c r="H10" s="27"/>
      <c r="I10" s="27"/>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7"/>
      <c r="D11" s="27"/>
      <c r="E11" s="27"/>
      <c r="F11" s="27"/>
      <c r="G11" s="27"/>
      <c r="H11" s="27"/>
      <c r="I11" s="27"/>
    </row>
    <row r="12" spans="1:52" x14ac:dyDescent="0.25">
      <c r="A12" s="27"/>
      <c r="B12" s="27"/>
      <c r="C12" s="27"/>
      <c r="D12" s="27"/>
      <c r="E12" s="27"/>
      <c r="F12" s="27"/>
      <c r="G12" s="27"/>
      <c r="H12" s="27"/>
      <c r="I12" s="27"/>
    </row>
    <row r="13" spans="1:52" x14ac:dyDescent="0.25">
      <c r="A13" s="27"/>
      <c r="B13" s="27"/>
      <c r="C13" s="27"/>
      <c r="D13" s="27"/>
      <c r="E13" s="27"/>
      <c r="F13" s="27"/>
      <c r="G13" s="27"/>
      <c r="H13" s="27"/>
      <c r="I13" s="27"/>
    </row>
    <row r="14" spans="1:52" x14ac:dyDescent="0.25">
      <c r="A14" s="27"/>
      <c r="B14" s="27"/>
      <c r="C14" s="27"/>
      <c r="D14" s="27"/>
      <c r="E14" s="27"/>
      <c r="F14" s="27"/>
      <c r="G14" s="27"/>
      <c r="H14" s="27"/>
      <c r="I14" s="27"/>
    </row>
    <row r="15" spans="1:52" x14ac:dyDescent="0.25">
      <c r="A15" s="27"/>
      <c r="B15" s="27"/>
      <c r="C15" s="27"/>
      <c r="D15" s="27"/>
      <c r="E15" s="27"/>
      <c r="F15" s="27"/>
      <c r="G15" s="27"/>
      <c r="H15" s="27"/>
      <c r="I15" s="27"/>
    </row>
    <row r="16" spans="1:52" x14ac:dyDescent="0.25">
      <c r="A16" s="27"/>
      <c r="B16" s="27"/>
      <c r="C16" s="27"/>
      <c r="D16" s="27"/>
      <c r="E16" s="27"/>
      <c r="F16" s="27"/>
      <c r="G16" s="27"/>
      <c r="H16" s="27"/>
      <c r="I16" s="27"/>
    </row>
    <row r="17" spans="1:9" x14ac:dyDescent="0.25">
      <c r="A17" s="27"/>
      <c r="B17" s="27"/>
      <c r="C17" s="27"/>
      <c r="D17" s="27"/>
      <c r="E17" s="27"/>
      <c r="F17" s="27"/>
      <c r="G17" s="27"/>
      <c r="H17" s="27"/>
      <c r="I17" s="27"/>
    </row>
    <row r="18" spans="1:9" x14ac:dyDescent="0.25">
      <c r="A18" s="27"/>
      <c r="B18" s="27"/>
      <c r="C18" s="27"/>
      <c r="D18" s="27"/>
      <c r="E18" s="27"/>
      <c r="F18" s="27"/>
      <c r="G18" s="27"/>
      <c r="H18" s="27"/>
      <c r="I18" s="27"/>
    </row>
    <row r="19" spans="1:9" x14ac:dyDescent="0.25">
      <c r="A19" s="27"/>
      <c r="B19" s="27"/>
      <c r="C19" s="27"/>
      <c r="D19" s="27"/>
      <c r="E19" s="27"/>
      <c r="F19" s="27"/>
      <c r="G19" s="27"/>
      <c r="H19" s="27"/>
      <c r="I19" s="27"/>
    </row>
    <row r="20" spans="1:9" x14ac:dyDescent="0.25">
      <c r="A20" s="27"/>
      <c r="B20" s="27"/>
      <c r="C20" s="27"/>
      <c r="D20" s="27"/>
      <c r="E20" s="27"/>
      <c r="F20" s="27"/>
      <c r="G20" s="27"/>
      <c r="H20" s="27"/>
      <c r="I20" s="27"/>
    </row>
    <row r="21" spans="1:9" x14ac:dyDescent="0.25">
      <c r="A21" s="27"/>
      <c r="B21" s="27"/>
      <c r="C21" s="27"/>
      <c r="D21" s="27"/>
      <c r="E21" s="27"/>
      <c r="F21" s="27"/>
      <c r="G21" s="27"/>
      <c r="H21" s="27"/>
      <c r="I21" s="27"/>
    </row>
    <row r="22" spans="1:9" x14ac:dyDescent="0.25">
      <c r="A22" s="27"/>
      <c r="B22" s="27"/>
      <c r="C22" s="27"/>
      <c r="D22" s="27"/>
      <c r="E22" s="27"/>
      <c r="F22" s="27"/>
      <c r="G22" s="27"/>
      <c r="H22" s="27"/>
      <c r="I22" s="27"/>
    </row>
    <row r="23" spans="1:9" x14ac:dyDescent="0.25">
      <c r="A23" s="27"/>
      <c r="B23" s="27"/>
      <c r="C23" s="27"/>
      <c r="D23" s="27"/>
      <c r="E23" s="27"/>
      <c r="F23" s="27"/>
      <c r="G23" s="27"/>
      <c r="H23" s="27"/>
      <c r="I23" s="27"/>
    </row>
    <row r="24" spans="1:9" x14ac:dyDescent="0.25">
      <c r="A24" s="27"/>
      <c r="B24" s="27"/>
      <c r="C24" s="27"/>
      <c r="D24" s="27"/>
      <c r="E24" s="27"/>
      <c r="F24" s="27"/>
      <c r="G24" s="27"/>
      <c r="H24" s="27"/>
      <c r="I24" s="27"/>
    </row>
    <row r="25" spans="1:9" x14ac:dyDescent="0.25">
      <c r="A25" s="27"/>
      <c r="B25" s="27"/>
      <c r="C25" s="27"/>
      <c r="D25" s="27"/>
      <c r="E25" s="27"/>
      <c r="F25" s="27"/>
      <c r="G25" s="27"/>
      <c r="H25" s="27"/>
      <c r="I25" s="27"/>
    </row>
    <row r="26" spans="1:9" x14ac:dyDescent="0.25">
      <c r="A26" s="27"/>
      <c r="B26" s="27"/>
      <c r="C26" s="27"/>
      <c r="D26" s="27"/>
      <c r="E26" s="27"/>
      <c r="F26" s="27"/>
      <c r="G26" s="27"/>
      <c r="H26" s="27"/>
      <c r="I26" s="27"/>
    </row>
    <row r="27" spans="1:9" x14ac:dyDescent="0.25">
      <c r="A27" s="27"/>
      <c r="B27" s="27"/>
      <c r="C27" s="27"/>
      <c r="D27" s="27"/>
      <c r="E27" s="27"/>
      <c r="F27" s="27"/>
      <c r="G27" s="27"/>
      <c r="H27" s="27"/>
      <c r="I27" s="27"/>
    </row>
    <row r="28" spans="1:9" x14ac:dyDescent="0.25">
      <c r="A28" s="27"/>
      <c r="B28" s="27"/>
      <c r="C28" s="27"/>
      <c r="D28" s="27"/>
      <c r="E28" s="27"/>
      <c r="F28" s="27"/>
      <c r="G28" s="27"/>
      <c r="H28" s="27"/>
      <c r="I28" s="27"/>
    </row>
    <row r="29" spans="1:9" x14ac:dyDescent="0.25">
      <c r="A29" s="27"/>
      <c r="B29" s="27"/>
      <c r="C29" s="27"/>
      <c r="D29" s="27"/>
      <c r="E29" s="27"/>
      <c r="F29" s="27"/>
      <c r="G29" s="27"/>
      <c r="H29" s="27"/>
      <c r="I29" s="27"/>
    </row>
    <row r="30" spans="1:9" x14ac:dyDescent="0.25">
      <c r="A30" s="27"/>
      <c r="B30" s="27"/>
      <c r="C30" s="27"/>
      <c r="D30" s="27"/>
      <c r="E30" s="27"/>
      <c r="F30" s="27"/>
      <c r="G30" s="27"/>
      <c r="H30" s="27"/>
      <c r="I30" s="27"/>
    </row>
    <row r="31" spans="1:9" x14ac:dyDescent="0.25">
      <c r="A31" s="27"/>
      <c r="B31" s="27"/>
      <c r="C31" s="27"/>
      <c r="D31" s="27"/>
      <c r="E31" s="27"/>
      <c r="F31" s="27"/>
      <c r="G31" s="27"/>
      <c r="H31" s="27"/>
      <c r="I31" s="27"/>
    </row>
    <row r="32" spans="1:9" x14ac:dyDescent="0.25">
      <c r="A32" s="27"/>
      <c r="B32" s="27"/>
      <c r="C32" s="27"/>
      <c r="D32" s="27"/>
      <c r="E32" s="27"/>
      <c r="F32" s="27"/>
      <c r="G32" s="27"/>
      <c r="H32" s="27"/>
      <c r="I32" s="27"/>
    </row>
    <row r="33" spans="1:9" x14ac:dyDescent="0.25">
      <c r="A33" s="27"/>
      <c r="B33" s="27"/>
      <c r="C33" s="27"/>
      <c r="D33" s="27"/>
      <c r="E33" s="27"/>
      <c r="F33" s="27"/>
      <c r="G33" s="27"/>
      <c r="H33" s="27"/>
      <c r="I33" s="27"/>
    </row>
    <row r="34" spans="1:9" x14ac:dyDescent="0.25">
      <c r="A34" s="27"/>
      <c r="B34" s="27"/>
      <c r="C34" s="27"/>
      <c r="D34" s="27"/>
      <c r="E34" s="27"/>
      <c r="F34" s="27"/>
      <c r="G34" s="27"/>
      <c r="H34" s="27"/>
      <c r="I34" s="27"/>
    </row>
    <row r="35" spans="1:9" x14ac:dyDescent="0.25">
      <c r="A35" s="27"/>
      <c r="B35" s="27"/>
      <c r="C35" s="27"/>
      <c r="D35" s="27"/>
      <c r="E35" s="27"/>
      <c r="F35" s="27"/>
      <c r="G35" s="27"/>
      <c r="H35" s="27"/>
      <c r="I35" s="27"/>
    </row>
    <row r="36" spans="1:9" x14ac:dyDescent="0.25">
      <c r="A36" s="27"/>
      <c r="B36" s="27"/>
      <c r="C36" s="27"/>
      <c r="D36" s="27"/>
      <c r="E36" s="27"/>
      <c r="F36" s="27"/>
      <c r="G36" s="27"/>
      <c r="H36" s="27"/>
      <c r="I36" s="27"/>
    </row>
    <row r="37" spans="1:9" x14ac:dyDescent="0.25">
      <c r="A37" s="27"/>
      <c r="B37" s="27"/>
      <c r="C37" s="27"/>
      <c r="D37" s="27"/>
      <c r="E37" s="27"/>
      <c r="F37" s="27"/>
      <c r="G37" s="27"/>
      <c r="H37" s="27"/>
      <c r="I37" s="27"/>
    </row>
    <row r="38" spans="1:9" x14ac:dyDescent="0.25">
      <c r="A38" s="27"/>
      <c r="B38" s="27"/>
      <c r="C38" s="27"/>
      <c r="D38" s="27"/>
      <c r="E38" s="27"/>
      <c r="F38" s="27"/>
      <c r="G38" s="27"/>
      <c r="H38" s="27"/>
      <c r="I38" s="27"/>
    </row>
    <row r="39" spans="1:9" x14ac:dyDescent="0.25">
      <c r="A39" s="27"/>
      <c r="B39" s="27"/>
      <c r="C39" s="27"/>
      <c r="D39" s="27"/>
      <c r="E39" s="27"/>
      <c r="F39" s="27"/>
      <c r="G39" s="27"/>
      <c r="H39" s="27"/>
      <c r="I39" s="27"/>
    </row>
    <row r="40" spans="1:9" x14ac:dyDescent="0.25">
      <c r="A40" s="27"/>
      <c r="B40" s="27"/>
      <c r="C40" s="27"/>
      <c r="D40" s="27"/>
      <c r="E40" s="27"/>
      <c r="F40" s="27"/>
      <c r="G40" s="27"/>
      <c r="H40" s="27"/>
      <c r="I40" s="27"/>
    </row>
    <row r="41" spans="1:9" x14ac:dyDescent="0.25">
      <c r="A41" s="27"/>
      <c r="B41" s="27"/>
      <c r="C41" s="27"/>
      <c r="D41" s="27"/>
      <c r="E41" s="27"/>
      <c r="F41" s="27"/>
      <c r="G41" s="27"/>
      <c r="H41" s="27"/>
      <c r="I41" s="27"/>
    </row>
    <row r="42" spans="1:9" x14ac:dyDescent="0.25">
      <c r="A42" s="27"/>
      <c r="B42" s="27"/>
      <c r="C42" s="27"/>
      <c r="D42" s="27"/>
      <c r="E42" s="27"/>
      <c r="F42" s="27"/>
      <c r="G42" s="27"/>
      <c r="H42" s="27"/>
      <c r="I42" s="27"/>
    </row>
    <row r="43" spans="1:9" x14ac:dyDescent="0.25">
      <c r="A43" s="27"/>
      <c r="B43" s="27"/>
      <c r="C43" s="27"/>
      <c r="D43" s="27"/>
      <c r="E43" s="27"/>
      <c r="F43" s="27"/>
      <c r="G43" s="27"/>
      <c r="H43" s="27"/>
      <c r="I43" s="27"/>
    </row>
    <row r="44" spans="1:9" x14ac:dyDescent="0.25">
      <c r="A44" s="27"/>
      <c r="B44" s="27"/>
      <c r="C44" s="27"/>
      <c r="D44" s="27"/>
      <c r="E44" s="27"/>
      <c r="F44" s="27"/>
      <c r="G44" s="27"/>
      <c r="H44" s="27"/>
      <c r="I44" s="27"/>
    </row>
    <row r="45" spans="1:9" x14ac:dyDescent="0.25">
      <c r="A45" s="27"/>
      <c r="B45" s="27"/>
      <c r="C45" s="27"/>
      <c r="D45" s="27"/>
      <c r="E45" s="27"/>
      <c r="F45" s="27"/>
      <c r="G45" s="27"/>
      <c r="H45" s="27"/>
      <c r="I45" s="27"/>
    </row>
    <row r="46" spans="1:9" x14ac:dyDescent="0.25">
      <c r="A46" s="27"/>
      <c r="B46" s="27"/>
      <c r="C46" s="27"/>
      <c r="D46" s="27"/>
      <c r="E46" s="27"/>
      <c r="F46" s="27"/>
      <c r="G46" s="27"/>
      <c r="H46" s="27"/>
      <c r="I46" s="27"/>
    </row>
    <row r="47" spans="1:9" x14ac:dyDescent="0.25">
      <c r="A47" s="27"/>
      <c r="B47" s="27"/>
      <c r="C47" s="27"/>
      <c r="D47" s="27"/>
      <c r="E47" s="27"/>
      <c r="F47" s="27"/>
      <c r="G47" s="27"/>
      <c r="H47" s="27"/>
      <c r="I47" s="27"/>
    </row>
    <row r="48" spans="1:9" x14ac:dyDescent="0.25">
      <c r="A48" s="27"/>
      <c r="B48" s="27"/>
      <c r="C48" s="27"/>
      <c r="D48" s="27"/>
      <c r="E48" s="27"/>
      <c r="F48" s="27"/>
      <c r="G48" s="27"/>
      <c r="H48" s="27"/>
      <c r="I48" s="27"/>
    </row>
    <row r="49" spans="1:9" x14ac:dyDescent="0.25">
      <c r="A49" s="27"/>
      <c r="B49" s="27"/>
      <c r="C49" s="27"/>
      <c r="D49" s="27"/>
      <c r="E49" s="27"/>
      <c r="F49" s="27"/>
      <c r="G49" s="27"/>
      <c r="H49" s="27"/>
      <c r="I49" s="27"/>
    </row>
    <row r="50" spans="1:9" x14ac:dyDescent="0.25">
      <c r="A50" s="27"/>
      <c r="B50" s="27"/>
      <c r="C50" s="27"/>
      <c r="D50" s="27"/>
      <c r="E50" s="27"/>
      <c r="F50" s="27"/>
      <c r="G50" s="27"/>
      <c r="H50" s="27"/>
      <c r="I50" s="27"/>
    </row>
    <row r="51" spans="1:9" x14ac:dyDescent="0.25">
      <c r="A51" s="27"/>
      <c r="B51" s="27"/>
      <c r="C51" s="27"/>
      <c r="D51" s="27"/>
      <c r="E51" s="27"/>
      <c r="F51" s="27"/>
      <c r="G51" s="27"/>
      <c r="H51" s="27"/>
      <c r="I51" s="27"/>
    </row>
    <row r="52" spans="1:9" x14ac:dyDescent="0.25">
      <c r="A52" s="27"/>
      <c r="B52" s="27"/>
      <c r="C52" s="27"/>
      <c r="D52" s="27"/>
      <c r="E52" s="27"/>
      <c r="F52" s="27"/>
      <c r="G52" s="27"/>
      <c r="H52" s="27"/>
      <c r="I52" s="27"/>
    </row>
    <row r="53" spans="1:9" x14ac:dyDescent="0.25">
      <c r="A53" s="27"/>
      <c r="B53" s="27"/>
      <c r="C53" s="27"/>
      <c r="D53" s="27"/>
      <c r="E53" s="27"/>
      <c r="F53" s="27"/>
      <c r="G53" s="27"/>
      <c r="H53" s="27"/>
      <c r="I53" s="27"/>
    </row>
    <row r="54" spans="1:9" x14ac:dyDescent="0.25">
      <c r="A54" s="27"/>
      <c r="B54" s="27"/>
      <c r="C54" s="27"/>
      <c r="D54" s="27"/>
      <c r="E54" s="27"/>
      <c r="F54" s="27"/>
      <c r="G54" s="27"/>
      <c r="H54" s="27"/>
      <c r="I54" s="27"/>
    </row>
    <row r="55" spans="1:9" x14ac:dyDescent="0.25">
      <c r="A55" s="27"/>
      <c r="B55" s="27"/>
      <c r="C55" s="27"/>
      <c r="D55" s="27"/>
      <c r="E55" s="27"/>
      <c r="F55" s="27"/>
      <c r="G55" s="27"/>
      <c r="H55" s="27"/>
      <c r="I55" s="27"/>
    </row>
    <row r="56" spans="1:9" x14ac:dyDescent="0.25">
      <c r="A56" s="27"/>
      <c r="B56" s="27"/>
      <c r="C56" s="27"/>
      <c r="D56" s="27"/>
      <c r="E56" s="27"/>
      <c r="F56" s="27"/>
      <c r="G56" s="27"/>
      <c r="H56" s="27"/>
      <c r="I56" s="27"/>
    </row>
    <row r="57" spans="1:9" x14ac:dyDescent="0.25">
      <c r="A57" s="27"/>
      <c r="B57" s="27"/>
      <c r="C57" s="27"/>
      <c r="D57" s="27"/>
      <c r="E57" s="27"/>
      <c r="F57" s="27"/>
      <c r="G57" s="27"/>
      <c r="H57" s="27"/>
      <c r="I57" s="27"/>
    </row>
    <row r="58" spans="1:9" x14ac:dyDescent="0.25">
      <c r="A58" s="27"/>
      <c r="B58" s="27"/>
      <c r="C58" s="27"/>
      <c r="D58" s="27"/>
      <c r="E58" s="27"/>
      <c r="F58" s="27"/>
      <c r="G58" s="27"/>
      <c r="H58" s="27"/>
      <c r="I58" s="27"/>
    </row>
    <row r="59" spans="1:9" x14ac:dyDescent="0.25">
      <c r="A59" s="27"/>
      <c r="B59" s="27"/>
      <c r="C59" s="27"/>
      <c r="D59" s="27"/>
      <c r="E59" s="27"/>
      <c r="F59" s="27"/>
      <c r="G59" s="27"/>
      <c r="H59" s="27"/>
      <c r="I59" s="27"/>
    </row>
    <row r="60" spans="1:9" x14ac:dyDescent="0.25">
      <c r="A60" s="27"/>
      <c r="B60" s="27"/>
      <c r="C60" s="27"/>
      <c r="D60" s="27"/>
      <c r="E60" s="27"/>
      <c r="F60" s="27"/>
      <c r="G60" s="27"/>
      <c r="H60" s="27"/>
      <c r="I60" s="27"/>
    </row>
    <row r="61" spans="1:9" x14ac:dyDescent="0.25">
      <c r="A61" s="27"/>
      <c r="B61" s="27"/>
      <c r="C61" s="27"/>
      <c r="D61" s="27"/>
      <c r="E61" s="27"/>
      <c r="F61" s="27"/>
      <c r="G61" s="27"/>
      <c r="H61" s="27"/>
      <c r="I61" s="27"/>
    </row>
    <row r="62" spans="1:9" x14ac:dyDescent="0.25">
      <c r="A62" s="27"/>
      <c r="B62" s="27"/>
      <c r="C62" s="27"/>
      <c r="D62" s="27"/>
      <c r="E62" s="27"/>
      <c r="F62" s="27"/>
      <c r="G62" s="27"/>
      <c r="H62" s="27"/>
      <c r="I62" s="27"/>
    </row>
    <row r="63" spans="1:9" x14ac:dyDescent="0.25">
      <c r="A63" s="27"/>
      <c r="B63" s="27"/>
      <c r="C63" s="27"/>
      <c r="D63" s="27"/>
      <c r="E63" s="27"/>
      <c r="F63" s="27"/>
      <c r="G63" s="27"/>
      <c r="H63" s="27"/>
      <c r="I63" s="27"/>
    </row>
    <row r="64" spans="1:9" x14ac:dyDescent="0.25">
      <c r="A64" s="27"/>
      <c r="B64" s="27"/>
      <c r="C64" s="27"/>
      <c r="D64" s="27"/>
      <c r="E64" s="27"/>
      <c r="F64" s="27"/>
      <c r="G64" s="27"/>
      <c r="H64" s="27"/>
      <c r="I64" s="27"/>
    </row>
    <row r="65" spans="1:9" x14ac:dyDescent="0.25">
      <c r="A65" s="27"/>
      <c r="B65" s="27"/>
      <c r="C65" s="27"/>
      <c r="D65" s="27"/>
      <c r="E65" s="27"/>
      <c r="F65" s="27"/>
      <c r="G65" s="27"/>
      <c r="H65" s="27"/>
      <c r="I65" s="27"/>
    </row>
    <row r="66" spans="1:9" x14ac:dyDescent="0.25">
      <c r="A66" s="27"/>
      <c r="B66" s="27"/>
      <c r="C66" s="27"/>
      <c r="D66" s="27"/>
      <c r="E66" s="27"/>
      <c r="F66" s="27"/>
      <c r="G66" s="27"/>
      <c r="H66" s="27"/>
      <c r="I66" s="27"/>
    </row>
    <row r="67" spans="1:9" x14ac:dyDescent="0.25">
      <c r="A67" s="27"/>
      <c r="B67" s="27"/>
      <c r="C67" s="27"/>
      <c r="D67" s="27"/>
      <c r="E67" s="27"/>
      <c r="F67" s="27"/>
      <c r="G67" s="27"/>
      <c r="H67" s="27"/>
      <c r="I67" s="27"/>
    </row>
    <row r="68" spans="1:9" x14ac:dyDescent="0.25">
      <c r="A68" s="27"/>
      <c r="B68" s="27"/>
      <c r="C68" s="27"/>
      <c r="D68" s="27"/>
      <c r="E68" s="27"/>
      <c r="F68" s="27"/>
      <c r="G68" s="27"/>
      <c r="H68" s="27"/>
      <c r="I68" s="27"/>
    </row>
    <row r="69" spans="1:9" x14ac:dyDescent="0.25">
      <c r="A69" s="27"/>
      <c r="B69" s="27"/>
      <c r="C69" s="27"/>
      <c r="D69" s="27"/>
      <c r="E69" s="27"/>
      <c r="F69" s="27"/>
      <c r="G69" s="27"/>
      <c r="H69" s="27"/>
      <c r="I69" s="27"/>
    </row>
    <row r="70" spans="1:9" x14ac:dyDescent="0.25">
      <c r="A70" s="27"/>
      <c r="B70" s="27"/>
      <c r="C70" s="27"/>
      <c r="D70" s="27"/>
      <c r="E70" s="27"/>
      <c r="F70" s="27"/>
      <c r="G70" s="27"/>
      <c r="H70" s="27"/>
      <c r="I70" s="27"/>
    </row>
    <row r="71" spans="1:9" x14ac:dyDescent="0.25">
      <c r="A71" s="27"/>
      <c r="B71" s="27"/>
      <c r="C71" s="27"/>
      <c r="D71" s="27"/>
      <c r="E71" s="27"/>
      <c r="F71" s="27"/>
      <c r="G71" s="27"/>
      <c r="H71" s="27"/>
      <c r="I71" s="27"/>
    </row>
    <row r="72" spans="1:9" x14ac:dyDescent="0.25">
      <c r="A72" s="27"/>
      <c r="B72" s="27"/>
      <c r="C72" s="27"/>
      <c r="D72" s="27"/>
      <c r="E72" s="27"/>
      <c r="F72" s="27"/>
      <c r="G72" s="27"/>
      <c r="H72" s="27"/>
      <c r="I72" s="27"/>
    </row>
    <row r="73" spans="1:9" x14ac:dyDescent="0.25">
      <c r="A73" s="27"/>
      <c r="B73" s="27"/>
      <c r="C73" s="27"/>
      <c r="D73" s="27"/>
      <c r="E73" s="27"/>
      <c r="F73" s="27"/>
      <c r="G73" s="27"/>
      <c r="H73" s="27"/>
      <c r="I73" s="27"/>
    </row>
    <row r="74" spans="1:9" x14ac:dyDescent="0.25">
      <c r="A74" s="27"/>
      <c r="B74" s="27"/>
      <c r="C74" s="27"/>
      <c r="D74" s="27"/>
      <c r="E74" s="27"/>
      <c r="F74" s="27"/>
      <c r="G74" s="27"/>
      <c r="H74" s="27"/>
      <c r="I74" s="27"/>
    </row>
    <row r="75" spans="1:9" x14ac:dyDescent="0.25">
      <c r="A75" s="27"/>
      <c r="B75" s="27"/>
      <c r="C75" s="27"/>
      <c r="D75" s="27"/>
      <c r="E75" s="27"/>
      <c r="F75" s="27"/>
      <c r="G75" s="27"/>
      <c r="H75" s="27"/>
      <c r="I75" s="27"/>
    </row>
    <row r="76" spans="1:9" x14ac:dyDescent="0.25">
      <c r="A76" s="27"/>
      <c r="B76" s="27"/>
      <c r="C76" s="27"/>
      <c r="D76" s="27"/>
      <c r="E76" s="27"/>
      <c r="F76" s="27"/>
      <c r="G76" s="27"/>
      <c r="H76" s="27"/>
      <c r="I76" s="27"/>
    </row>
    <row r="77" spans="1:9" x14ac:dyDescent="0.25">
      <c r="A77" s="27"/>
      <c r="B77" s="27"/>
      <c r="C77" s="27"/>
      <c r="D77" s="27"/>
      <c r="E77" s="27"/>
      <c r="F77" s="27"/>
      <c r="G77" s="27"/>
      <c r="H77" s="27"/>
      <c r="I77" s="27"/>
    </row>
    <row r="78" spans="1:9" x14ac:dyDescent="0.25">
      <c r="A78" s="27"/>
      <c r="B78" s="27"/>
      <c r="C78" s="27"/>
      <c r="D78" s="27"/>
      <c r="E78" s="27"/>
      <c r="F78" s="27"/>
      <c r="G78" s="27"/>
      <c r="H78" s="27"/>
      <c r="I78" s="27"/>
    </row>
    <row r="79" spans="1:9" x14ac:dyDescent="0.25">
      <c r="A79" s="27"/>
      <c r="B79" s="27"/>
      <c r="C79" s="27"/>
      <c r="D79" s="27"/>
      <c r="E79" s="27"/>
      <c r="F79" s="27"/>
      <c r="G79" s="27"/>
      <c r="H79" s="27"/>
      <c r="I79" s="27"/>
    </row>
    <row r="80" spans="1:9" x14ac:dyDescent="0.25">
      <c r="A80" s="27"/>
      <c r="B80" s="27"/>
      <c r="C80" s="27"/>
      <c r="D80" s="27"/>
      <c r="E80" s="27"/>
      <c r="F80" s="27"/>
      <c r="G80" s="27"/>
      <c r="H80" s="27"/>
      <c r="I80" s="27"/>
    </row>
    <row r="81" spans="1:9" x14ac:dyDescent="0.25">
      <c r="A81" s="27"/>
      <c r="B81" s="27"/>
      <c r="C81" s="27"/>
      <c r="D81" s="27"/>
      <c r="E81" s="27"/>
      <c r="F81" s="27"/>
      <c r="G81" s="27"/>
      <c r="H81" s="27"/>
      <c r="I81" s="27"/>
    </row>
    <row r="82" spans="1:9" x14ac:dyDescent="0.25">
      <c r="A82" s="27"/>
      <c r="B82" s="27"/>
      <c r="C82" s="27"/>
      <c r="D82" s="27"/>
      <c r="E82" s="27"/>
      <c r="F82" s="27"/>
      <c r="G82" s="27"/>
      <c r="H82" s="27"/>
      <c r="I82" s="27"/>
    </row>
    <row r="83" spans="1:9" x14ac:dyDescent="0.25">
      <c r="A83" s="27"/>
      <c r="B83" s="27"/>
      <c r="C83" s="27"/>
      <c r="D83" s="27"/>
      <c r="E83" s="27"/>
      <c r="F83" s="27"/>
      <c r="G83" s="27"/>
      <c r="H83" s="27"/>
      <c r="I83" s="27"/>
    </row>
    <row r="84" spans="1:9" x14ac:dyDescent="0.25">
      <c r="A84" s="27"/>
      <c r="B84" s="27"/>
      <c r="C84" s="27"/>
      <c r="D84" s="27"/>
      <c r="E84" s="27"/>
      <c r="F84" s="27"/>
      <c r="G84" s="27"/>
      <c r="H84" s="27"/>
      <c r="I84" s="27"/>
    </row>
    <row r="85" spans="1:9" x14ac:dyDescent="0.25">
      <c r="A85" s="27"/>
      <c r="B85" s="27"/>
      <c r="C85" s="27"/>
      <c r="D85" s="27"/>
      <c r="E85" s="27"/>
      <c r="F85" s="27"/>
      <c r="G85" s="27"/>
      <c r="H85" s="27"/>
      <c r="I85" s="27"/>
    </row>
    <row r="86" spans="1:9" x14ac:dyDescent="0.25">
      <c r="A86" s="27"/>
      <c r="B86" s="27"/>
      <c r="C86" s="27"/>
      <c r="D86" s="27"/>
      <c r="E86" s="27"/>
      <c r="F86" s="27"/>
      <c r="G86" s="27"/>
      <c r="H86" s="27"/>
      <c r="I86" s="27"/>
    </row>
    <row r="87" spans="1:9" x14ac:dyDescent="0.25">
      <c r="A87" s="27"/>
      <c r="B87" s="27"/>
      <c r="C87" s="27"/>
      <c r="D87" s="27"/>
      <c r="E87" s="27"/>
      <c r="F87" s="27"/>
      <c r="G87" s="27"/>
      <c r="H87" s="27"/>
      <c r="I87" s="27"/>
    </row>
    <row r="88" spans="1:9" x14ac:dyDescent="0.25">
      <c r="A88" s="27"/>
      <c r="B88" s="27"/>
      <c r="C88" s="27"/>
      <c r="D88" s="27"/>
      <c r="E88" s="27"/>
      <c r="F88" s="27"/>
      <c r="G88" s="27"/>
      <c r="H88" s="27"/>
      <c r="I88" s="27"/>
    </row>
    <row r="89" spans="1:9" x14ac:dyDescent="0.25">
      <c r="A89" s="27"/>
      <c r="B89" s="27"/>
      <c r="C89" s="27"/>
      <c r="D89" s="27"/>
      <c r="E89" s="27"/>
      <c r="F89" s="27"/>
      <c r="G89" s="27"/>
      <c r="H89" s="27"/>
      <c r="I89" s="27"/>
    </row>
    <row r="90" spans="1:9" x14ac:dyDescent="0.25">
      <c r="A90" s="27"/>
      <c r="B90" s="27"/>
      <c r="C90" s="27"/>
      <c r="D90" s="27"/>
      <c r="E90" s="27"/>
      <c r="F90" s="27"/>
      <c r="G90" s="27"/>
      <c r="H90" s="27"/>
      <c r="I90" s="27"/>
    </row>
    <row r="91" spans="1:9" x14ac:dyDescent="0.25">
      <c r="A91" s="27"/>
      <c r="B91" s="27"/>
      <c r="C91" s="27"/>
      <c r="D91" s="27"/>
      <c r="E91" s="27"/>
      <c r="F91" s="27"/>
      <c r="G91" s="27"/>
      <c r="H91" s="27"/>
      <c r="I91" s="27"/>
    </row>
    <row r="92" spans="1:9" x14ac:dyDescent="0.25">
      <c r="A92" s="27"/>
      <c r="B92" s="27"/>
      <c r="C92" s="27"/>
      <c r="D92" s="27"/>
      <c r="E92" s="27"/>
      <c r="F92" s="27"/>
      <c r="G92" s="27"/>
      <c r="H92" s="27"/>
      <c r="I92" s="27"/>
    </row>
    <row r="93" spans="1:9" x14ac:dyDescent="0.25">
      <c r="A93" s="27"/>
      <c r="B93" s="27"/>
      <c r="C93" s="27"/>
      <c r="D93" s="27"/>
      <c r="E93" s="27"/>
      <c r="F93" s="27"/>
      <c r="G93" s="27"/>
      <c r="H93" s="27"/>
      <c r="I93" s="27"/>
    </row>
    <row r="94" spans="1:9" x14ac:dyDescent="0.25">
      <c r="A94" s="27"/>
      <c r="B94" s="27"/>
      <c r="C94" s="27"/>
      <c r="D94" s="27"/>
      <c r="E94" s="27"/>
      <c r="F94" s="27"/>
      <c r="G94" s="27"/>
      <c r="H94" s="27"/>
      <c r="I94" s="27"/>
    </row>
    <row r="95" spans="1:9" x14ac:dyDescent="0.25">
      <c r="A95" s="27"/>
      <c r="B95" s="27"/>
      <c r="C95" s="27"/>
      <c r="D95" s="27"/>
      <c r="E95" s="27"/>
      <c r="F95" s="27"/>
      <c r="G95" s="27"/>
      <c r="H95" s="27"/>
      <c r="I95" s="27"/>
    </row>
    <row r="96" spans="1:9" x14ac:dyDescent="0.25">
      <c r="A96" s="27"/>
      <c r="B96" s="27"/>
      <c r="C96" s="27"/>
      <c r="D96" s="27"/>
      <c r="E96" s="27"/>
      <c r="F96" s="27"/>
      <c r="G96" s="27"/>
      <c r="H96" s="27"/>
      <c r="I96" s="27"/>
    </row>
    <row r="97" spans="1:9" x14ac:dyDescent="0.25">
      <c r="A97" s="27"/>
      <c r="B97" s="27"/>
      <c r="C97" s="27"/>
      <c r="D97" s="27"/>
      <c r="E97" s="27"/>
      <c r="F97" s="27"/>
      <c r="G97" s="27"/>
      <c r="H97" s="27"/>
      <c r="I97" s="27"/>
    </row>
    <row r="98" spans="1:9" x14ac:dyDescent="0.25">
      <c r="A98" s="27"/>
      <c r="B98" s="27"/>
      <c r="C98" s="27"/>
      <c r="D98" s="27"/>
      <c r="E98" s="27"/>
      <c r="F98" s="27"/>
      <c r="G98" s="27"/>
      <c r="H98" s="27"/>
      <c r="I98" s="27"/>
    </row>
    <row r="99" spans="1:9" x14ac:dyDescent="0.25">
      <c r="A99" s="27"/>
      <c r="B99" s="27"/>
      <c r="C99" s="27"/>
      <c r="D99" s="27"/>
      <c r="E99" s="27"/>
      <c r="F99" s="27"/>
      <c r="G99" s="27"/>
      <c r="H99" s="27"/>
      <c r="I99" s="27"/>
    </row>
    <row r="100" spans="1:9" x14ac:dyDescent="0.25">
      <c r="A100" s="27"/>
      <c r="B100" s="27"/>
      <c r="C100" s="27"/>
      <c r="D100" s="27"/>
      <c r="E100" s="27"/>
      <c r="F100" s="27"/>
      <c r="G100" s="27"/>
      <c r="H100" s="27"/>
      <c r="I100" s="27"/>
    </row>
    <row r="101" spans="1:9" x14ac:dyDescent="0.25">
      <c r="A101" s="27"/>
      <c r="B101" s="27"/>
      <c r="C101" s="27"/>
      <c r="D101" s="27"/>
      <c r="E101" s="27"/>
      <c r="F101" s="27"/>
      <c r="G101" s="27"/>
      <c r="H101" s="27"/>
      <c r="I101" s="27"/>
    </row>
    <row r="102" spans="1:9" x14ac:dyDescent="0.25">
      <c r="A102" s="27"/>
      <c r="B102" s="27"/>
      <c r="C102" s="27"/>
      <c r="D102" s="27"/>
      <c r="E102" s="27"/>
      <c r="F102" s="27"/>
      <c r="G102" s="27"/>
      <c r="H102" s="27"/>
      <c r="I102" s="27"/>
    </row>
    <row r="103" spans="1:9" x14ac:dyDescent="0.25">
      <c r="A103" s="27"/>
      <c r="B103" s="27"/>
      <c r="C103" s="27"/>
      <c r="D103" s="27"/>
      <c r="E103" s="27"/>
      <c r="F103" s="27"/>
      <c r="G103" s="27"/>
      <c r="H103" s="27"/>
      <c r="I103" s="27"/>
    </row>
    <row r="104" spans="1:9" x14ac:dyDescent="0.25">
      <c r="A104" s="27"/>
      <c r="B104" s="27"/>
      <c r="C104" s="27"/>
      <c r="D104" s="27"/>
      <c r="E104" s="27"/>
      <c r="F104" s="27"/>
      <c r="G104" s="27"/>
      <c r="H104" s="27"/>
      <c r="I104" s="27"/>
    </row>
    <row r="105" spans="1:9" x14ac:dyDescent="0.25">
      <c r="A105" s="27"/>
      <c r="B105" s="27"/>
      <c r="C105" s="27"/>
      <c r="D105" s="27"/>
      <c r="E105" s="27"/>
      <c r="F105" s="27"/>
      <c r="G105" s="27"/>
      <c r="H105" s="27"/>
      <c r="I105" s="27"/>
    </row>
    <row r="106" spans="1:9" x14ac:dyDescent="0.25">
      <c r="A106" s="27"/>
      <c r="B106" s="27"/>
      <c r="C106" s="27"/>
      <c r="D106" s="27"/>
      <c r="E106" s="27"/>
      <c r="F106" s="27"/>
      <c r="G106" s="27"/>
      <c r="H106" s="27"/>
      <c r="I106" s="27"/>
    </row>
    <row r="107" spans="1:9" x14ac:dyDescent="0.25">
      <c r="A107" s="27"/>
      <c r="B107" s="27"/>
      <c r="C107" s="27"/>
      <c r="D107" s="27"/>
      <c r="E107" s="27"/>
      <c r="F107" s="27"/>
      <c r="G107" s="27"/>
      <c r="H107" s="27"/>
      <c r="I107" s="27"/>
    </row>
    <row r="108" spans="1:9" x14ac:dyDescent="0.25">
      <c r="A108" s="27"/>
      <c r="B108" s="27"/>
      <c r="C108" s="27"/>
      <c r="D108" s="27"/>
      <c r="E108" s="27"/>
      <c r="F108" s="27"/>
      <c r="G108" s="27"/>
      <c r="H108" s="27"/>
      <c r="I108" s="27"/>
    </row>
    <row r="109" spans="1:9" x14ac:dyDescent="0.25">
      <c r="A109" s="27"/>
      <c r="B109" s="27"/>
      <c r="C109" s="27"/>
      <c r="D109" s="27"/>
      <c r="E109" s="27"/>
      <c r="F109" s="27"/>
      <c r="G109" s="27"/>
      <c r="H109" s="27"/>
      <c r="I109" s="27"/>
    </row>
    <row r="110" spans="1:9" x14ac:dyDescent="0.25">
      <c r="A110" s="27"/>
      <c r="B110" s="27"/>
      <c r="C110" s="27"/>
      <c r="D110" s="27"/>
      <c r="E110" s="27"/>
      <c r="F110" s="27"/>
      <c r="G110" s="27"/>
      <c r="H110" s="27"/>
      <c r="I110" s="27"/>
    </row>
    <row r="111" spans="1:9" x14ac:dyDescent="0.25">
      <c r="A111" s="27"/>
      <c r="B111" s="27"/>
      <c r="C111" s="27"/>
      <c r="D111" s="27"/>
      <c r="E111" s="27"/>
      <c r="F111" s="27"/>
      <c r="G111" s="27"/>
      <c r="H111" s="27"/>
      <c r="I111" s="27"/>
    </row>
    <row r="112" spans="1:9" x14ac:dyDescent="0.25">
      <c r="A112" s="27"/>
      <c r="B112" s="27"/>
      <c r="C112" s="27"/>
      <c r="D112" s="27"/>
      <c r="E112" s="27"/>
      <c r="F112" s="27"/>
      <c r="G112" s="27"/>
      <c r="H112" s="27"/>
      <c r="I112" s="27"/>
    </row>
    <row r="113" spans="1:9" x14ac:dyDescent="0.25">
      <c r="A113" s="27"/>
      <c r="B113" s="27"/>
      <c r="C113" s="27"/>
      <c r="D113" s="27"/>
      <c r="E113" s="27"/>
      <c r="F113" s="27"/>
      <c r="G113" s="27"/>
      <c r="H113" s="27"/>
      <c r="I113" s="27"/>
    </row>
    <row r="114" spans="1:9" x14ac:dyDescent="0.25">
      <c r="A114" s="27"/>
      <c r="B114" s="27"/>
      <c r="C114" s="27"/>
      <c r="D114" s="27"/>
      <c r="E114" s="27"/>
      <c r="F114" s="27"/>
      <c r="G114" s="27"/>
      <c r="H114" s="27"/>
      <c r="I114" s="27"/>
    </row>
    <row r="115" spans="1:9" x14ac:dyDescent="0.25">
      <c r="A115" s="27"/>
      <c r="B115" s="27"/>
      <c r="C115" s="27"/>
      <c r="D115" s="27"/>
      <c r="E115" s="27"/>
      <c r="F115" s="27"/>
      <c r="G115" s="27"/>
      <c r="H115" s="27"/>
      <c r="I115" s="27"/>
    </row>
    <row r="116" spans="1:9" x14ac:dyDescent="0.25">
      <c r="A116" s="27"/>
      <c r="B116" s="27"/>
      <c r="C116" s="27"/>
      <c r="D116" s="27"/>
      <c r="E116" s="27"/>
      <c r="F116" s="27"/>
      <c r="G116" s="27"/>
      <c r="H116" s="27"/>
      <c r="I116" s="27"/>
    </row>
    <row r="117" spans="1:9" x14ac:dyDescent="0.25">
      <c r="A117" s="27"/>
      <c r="B117" s="27"/>
      <c r="C117" s="27"/>
      <c r="D117" s="27"/>
      <c r="E117" s="27"/>
      <c r="F117" s="27"/>
      <c r="G117" s="27"/>
      <c r="H117" s="27"/>
      <c r="I117" s="27"/>
    </row>
    <row r="118" spans="1:9" x14ac:dyDescent="0.25">
      <c r="A118" s="27"/>
      <c r="B118" s="27"/>
      <c r="C118" s="27"/>
      <c r="D118" s="27"/>
      <c r="E118" s="27"/>
      <c r="F118" s="27"/>
      <c r="G118" s="27"/>
      <c r="H118" s="27"/>
      <c r="I118" s="27"/>
    </row>
    <row r="119" spans="1:9" x14ac:dyDescent="0.25">
      <c r="A119" s="27"/>
      <c r="B119" s="27"/>
      <c r="C119" s="27"/>
      <c r="D119" s="27"/>
      <c r="E119" s="27"/>
      <c r="F119" s="27"/>
      <c r="G119" s="27"/>
      <c r="H119" s="27"/>
      <c r="I119" s="27"/>
    </row>
    <row r="120" spans="1:9" x14ac:dyDescent="0.25">
      <c r="A120" s="27"/>
      <c r="B120" s="27"/>
      <c r="C120" s="27"/>
      <c r="D120" s="27"/>
      <c r="E120" s="27"/>
      <c r="F120" s="27"/>
      <c r="G120" s="27"/>
      <c r="H120" s="27"/>
      <c r="I120" s="27"/>
    </row>
    <row r="121" spans="1:9" x14ac:dyDescent="0.25">
      <c r="A121" s="27"/>
      <c r="B121" s="27"/>
      <c r="C121" s="27"/>
      <c r="D121" s="27"/>
      <c r="E121" s="27"/>
      <c r="F121" s="27"/>
      <c r="G121" s="27"/>
      <c r="H121" s="27"/>
      <c r="I121" s="27"/>
    </row>
    <row r="122" spans="1:9" x14ac:dyDescent="0.25">
      <c r="A122" s="27"/>
      <c r="B122" s="27"/>
      <c r="C122" s="27"/>
      <c r="D122" s="27"/>
      <c r="E122" s="27"/>
      <c r="F122" s="27"/>
      <c r="G122" s="27"/>
      <c r="H122" s="27"/>
      <c r="I122" s="27"/>
    </row>
    <row r="123" spans="1:9" x14ac:dyDescent="0.25">
      <c r="A123" s="27"/>
      <c r="B123" s="27"/>
      <c r="C123" s="27"/>
      <c r="D123" s="27"/>
      <c r="E123" s="27"/>
      <c r="F123" s="27"/>
      <c r="G123" s="27"/>
      <c r="H123" s="27"/>
      <c r="I123" s="27"/>
    </row>
    <row r="124" spans="1:9" x14ac:dyDescent="0.25">
      <c r="A124" s="27"/>
      <c r="B124" s="27"/>
      <c r="C124" s="27"/>
      <c r="D124" s="27"/>
      <c r="E124" s="27"/>
      <c r="F124" s="27"/>
      <c r="G124" s="27"/>
      <c r="H124" s="27"/>
      <c r="I124" s="27"/>
    </row>
    <row r="125" spans="1:9" x14ac:dyDescent="0.25">
      <c r="A125" s="27"/>
      <c r="B125" s="27"/>
      <c r="C125" s="27"/>
      <c r="D125" s="27"/>
      <c r="E125" s="27"/>
      <c r="F125" s="27"/>
      <c r="G125" s="27"/>
      <c r="H125" s="27"/>
      <c r="I125" s="27"/>
    </row>
    <row r="126" spans="1:9" x14ac:dyDescent="0.25">
      <c r="A126" s="27"/>
      <c r="B126" s="27"/>
      <c r="C126" s="27"/>
      <c r="D126" s="27"/>
      <c r="E126" s="27"/>
      <c r="F126" s="27"/>
      <c r="G126" s="27"/>
      <c r="H126" s="27"/>
      <c r="I126" s="27"/>
    </row>
    <row r="127" spans="1:9" x14ac:dyDescent="0.25">
      <c r="A127" s="27"/>
      <c r="B127" s="27"/>
      <c r="C127" s="27"/>
      <c r="D127" s="27"/>
      <c r="E127" s="27"/>
      <c r="F127" s="27"/>
      <c r="G127" s="27"/>
      <c r="H127" s="27"/>
      <c r="I127" s="27"/>
    </row>
    <row r="128" spans="1:9" x14ac:dyDescent="0.25">
      <c r="A128" s="27"/>
      <c r="B128" s="27"/>
      <c r="C128" s="27"/>
      <c r="D128" s="27"/>
      <c r="E128" s="27"/>
      <c r="F128" s="27"/>
      <c r="G128" s="27"/>
      <c r="H128" s="27"/>
      <c r="I128" s="27"/>
    </row>
    <row r="129" spans="1:9" x14ac:dyDescent="0.25">
      <c r="A129" s="27"/>
      <c r="B129" s="27"/>
      <c r="C129" s="27"/>
      <c r="D129" s="27"/>
      <c r="E129" s="27"/>
      <c r="F129" s="27"/>
      <c r="G129" s="27"/>
      <c r="H129" s="27"/>
      <c r="I129" s="27"/>
    </row>
    <row r="130" spans="1:9" x14ac:dyDescent="0.25">
      <c r="A130" s="27"/>
      <c r="B130" s="27"/>
      <c r="C130" s="27"/>
      <c r="D130" s="27"/>
      <c r="E130" s="27"/>
      <c r="F130" s="27"/>
      <c r="G130" s="27"/>
      <c r="H130" s="27"/>
      <c r="I130" s="27"/>
    </row>
    <row r="131" spans="1:9" x14ac:dyDescent="0.25">
      <c r="A131" s="27"/>
      <c r="B131" s="27"/>
      <c r="C131" s="27"/>
      <c r="D131" s="27"/>
      <c r="E131" s="27"/>
      <c r="F131" s="27"/>
      <c r="G131" s="27"/>
      <c r="H131" s="27"/>
      <c r="I131" s="27"/>
    </row>
    <row r="132" spans="1:9" x14ac:dyDescent="0.25">
      <c r="A132" s="27"/>
      <c r="B132" s="27"/>
      <c r="C132" s="27"/>
      <c r="D132" s="27"/>
      <c r="E132" s="27"/>
      <c r="F132" s="27"/>
      <c r="G132" s="27"/>
      <c r="H132" s="27"/>
      <c r="I132" s="27"/>
    </row>
    <row r="133" spans="1:9" x14ac:dyDescent="0.25">
      <c r="A133" s="27"/>
      <c r="B133" s="27"/>
      <c r="C133" s="27"/>
      <c r="D133" s="27"/>
      <c r="E133" s="27"/>
      <c r="F133" s="27"/>
      <c r="G133" s="27"/>
      <c r="H133" s="27"/>
      <c r="I133" s="27"/>
    </row>
    <row r="134" spans="1:9" x14ac:dyDescent="0.25">
      <c r="A134" s="27"/>
      <c r="B134" s="27"/>
      <c r="C134" s="27"/>
      <c r="D134" s="27"/>
      <c r="E134" s="27"/>
      <c r="F134" s="27"/>
      <c r="G134" s="27"/>
      <c r="H134" s="27"/>
      <c r="I134" s="27"/>
    </row>
    <row r="135" spans="1:9" x14ac:dyDescent="0.25">
      <c r="A135" s="27"/>
      <c r="B135" s="27"/>
      <c r="C135" s="27"/>
      <c r="D135" s="27"/>
      <c r="E135" s="27"/>
      <c r="F135" s="27"/>
      <c r="G135" s="27"/>
      <c r="H135" s="27"/>
      <c r="I135" s="27"/>
    </row>
    <row r="136" spans="1:9" x14ac:dyDescent="0.25">
      <c r="A136" s="27"/>
      <c r="B136" s="27"/>
      <c r="C136" s="27"/>
      <c r="D136" s="27"/>
      <c r="E136" s="27"/>
      <c r="F136" s="27"/>
      <c r="G136" s="27"/>
      <c r="H136" s="27"/>
      <c r="I136" s="27"/>
    </row>
    <row r="137" spans="1:9" x14ac:dyDescent="0.25">
      <c r="A137" s="27"/>
      <c r="B137" s="27"/>
      <c r="C137" s="27"/>
      <c r="D137" s="27"/>
      <c r="E137" s="27"/>
      <c r="F137" s="27"/>
      <c r="G137" s="27"/>
      <c r="H137" s="27"/>
      <c r="I137" s="27"/>
    </row>
    <row r="138" spans="1:9" x14ac:dyDescent="0.25">
      <c r="A138" s="27"/>
      <c r="B138" s="27"/>
      <c r="C138" s="27"/>
      <c r="D138" s="27"/>
      <c r="E138" s="27"/>
      <c r="F138" s="27"/>
      <c r="G138" s="27"/>
      <c r="H138" s="27"/>
      <c r="I138" s="27"/>
    </row>
    <row r="139" spans="1:9" x14ac:dyDescent="0.25">
      <c r="A139" s="27"/>
      <c r="B139" s="27"/>
      <c r="C139" s="27"/>
      <c r="D139" s="27"/>
      <c r="E139" s="27"/>
      <c r="F139" s="27"/>
      <c r="G139" s="27"/>
      <c r="H139" s="27"/>
      <c r="I139" s="27"/>
    </row>
    <row r="140" spans="1:9" x14ac:dyDescent="0.25">
      <c r="A140" s="27"/>
      <c r="B140" s="27"/>
      <c r="C140" s="27"/>
      <c r="D140" s="27"/>
      <c r="E140" s="27"/>
      <c r="F140" s="27"/>
      <c r="G140" s="27"/>
      <c r="H140" s="27"/>
      <c r="I140" s="27"/>
    </row>
    <row r="141" spans="1:9" x14ac:dyDescent="0.25">
      <c r="A141" s="27"/>
      <c r="B141" s="27"/>
      <c r="C141" s="27"/>
      <c r="D141" s="27"/>
      <c r="E141" s="27"/>
      <c r="F141" s="27"/>
      <c r="G141" s="27"/>
      <c r="H141" s="27"/>
      <c r="I141" s="27"/>
    </row>
    <row r="142" spans="1:9" x14ac:dyDescent="0.25">
      <c r="A142" s="27"/>
      <c r="B142" s="27"/>
      <c r="C142" s="27"/>
      <c r="D142" s="27"/>
      <c r="E142" s="27"/>
      <c r="F142" s="27"/>
      <c r="G142" s="27"/>
      <c r="H142" s="27"/>
      <c r="I142" s="27"/>
    </row>
    <row r="143" spans="1:9" x14ac:dyDescent="0.25">
      <c r="A143" s="27"/>
      <c r="B143" s="27"/>
      <c r="C143" s="27"/>
      <c r="D143" s="27"/>
      <c r="E143" s="27"/>
      <c r="F143" s="27"/>
      <c r="G143" s="27"/>
      <c r="H143" s="27"/>
      <c r="I143" s="27"/>
    </row>
    <row r="144" spans="1:9" x14ac:dyDescent="0.25">
      <c r="A144" s="27"/>
      <c r="B144" s="27"/>
      <c r="C144" s="27"/>
      <c r="D144" s="27"/>
      <c r="E144" s="27"/>
      <c r="F144" s="27"/>
      <c r="G144" s="27"/>
      <c r="H144" s="27"/>
      <c r="I144" s="27"/>
    </row>
    <row r="145" spans="1:9" x14ac:dyDescent="0.25">
      <c r="A145" s="27"/>
      <c r="B145" s="27"/>
      <c r="C145" s="27"/>
      <c r="D145" s="27"/>
      <c r="E145" s="27"/>
      <c r="F145" s="27"/>
      <c r="G145" s="27"/>
      <c r="H145" s="27"/>
      <c r="I145" s="27"/>
    </row>
    <row r="146" spans="1:9" x14ac:dyDescent="0.25">
      <c r="A146" s="27"/>
      <c r="B146" s="27"/>
      <c r="C146" s="27"/>
      <c r="D146" s="27"/>
      <c r="E146" s="27"/>
      <c r="F146" s="27"/>
      <c r="G146" s="27"/>
      <c r="H146" s="27"/>
      <c r="I146" s="27"/>
    </row>
    <row r="147" spans="1:9" x14ac:dyDescent="0.25">
      <c r="A147" s="27"/>
      <c r="B147" s="27"/>
      <c r="C147" s="27"/>
      <c r="D147" s="27"/>
      <c r="E147" s="27"/>
      <c r="F147" s="27"/>
      <c r="G147" s="27"/>
      <c r="H147" s="27"/>
      <c r="I147" s="27"/>
    </row>
    <row r="148" spans="1:9" x14ac:dyDescent="0.25">
      <c r="A148" s="27"/>
      <c r="B148" s="27"/>
      <c r="C148" s="27"/>
      <c r="D148" s="27"/>
      <c r="E148" s="27"/>
      <c r="F148" s="27"/>
      <c r="G148" s="27"/>
      <c r="H148" s="27"/>
      <c r="I148" s="27"/>
    </row>
    <row r="149" spans="1:9" x14ac:dyDescent="0.25">
      <c r="A149" s="27"/>
      <c r="B149" s="27"/>
      <c r="C149" s="27"/>
      <c r="D149" s="27"/>
      <c r="E149" s="27"/>
      <c r="F149" s="27"/>
      <c r="G149" s="27"/>
      <c r="H149" s="27"/>
      <c r="I149" s="27"/>
    </row>
    <row r="150" spans="1:9" x14ac:dyDescent="0.25">
      <c r="A150" s="27"/>
      <c r="B150" s="27"/>
      <c r="C150" s="27"/>
      <c r="D150" s="27"/>
      <c r="E150" s="27"/>
      <c r="F150" s="27"/>
      <c r="G150" s="27"/>
      <c r="H150" s="27"/>
      <c r="I150" s="27"/>
    </row>
    <row r="151" spans="1:9" x14ac:dyDescent="0.25">
      <c r="A151" s="27"/>
      <c r="B151" s="27"/>
      <c r="C151" s="27"/>
      <c r="D151" s="27"/>
      <c r="E151" s="27"/>
      <c r="F151" s="27"/>
      <c r="G151" s="27"/>
      <c r="H151" s="27"/>
      <c r="I151" s="27"/>
    </row>
    <row r="152" spans="1:9" x14ac:dyDescent="0.25">
      <c r="A152" s="27"/>
      <c r="B152" s="27"/>
      <c r="C152" s="27"/>
      <c r="D152" s="27"/>
      <c r="E152" s="27"/>
      <c r="F152" s="27"/>
      <c r="G152" s="27"/>
      <c r="H152" s="27"/>
      <c r="I152" s="27"/>
    </row>
    <row r="153" spans="1:9" x14ac:dyDescent="0.25">
      <c r="A153" s="27"/>
      <c r="B153" s="27"/>
      <c r="C153" s="27"/>
      <c r="D153" s="27"/>
      <c r="E153" s="27"/>
      <c r="F153" s="27"/>
      <c r="G153" s="27"/>
      <c r="H153" s="27"/>
      <c r="I153" s="27"/>
    </row>
    <row r="154" spans="1:9" x14ac:dyDescent="0.25">
      <c r="A154" s="27"/>
      <c r="B154" s="27"/>
      <c r="C154" s="27"/>
      <c r="D154" s="27"/>
      <c r="E154" s="27"/>
      <c r="F154" s="27"/>
      <c r="G154" s="27"/>
      <c r="H154" s="27"/>
      <c r="I154" s="27"/>
    </row>
    <row r="155" spans="1:9" x14ac:dyDescent="0.25">
      <c r="A155" s="27"/>
      <c r="B155" s="27"/>
      <c r="C155" s="27"/>
      <c r="D155" s="27"/>
      <c r="E155" s="27"/>
      <c r="F155" s="27"/>
      <c r="G155" s="27"/>
      <c r="H155" s="27"/>
      <c r="I155" s="27"/>
    </row>
    <row r="156" spans="1:9" x14ac:dyDescent="0.25">
      <c r="A156" s="27"/>
      <c r="B156" s="27"/>
      <c r="C156" s="27"/>
      <c r="D156" s="27"/>
      <c r="E156" s="27"/>
      <c r="F156" s="27"/>
      <c r="G156" s="27"/>
      <c r="H156" s="27"/>
      <c r="I156" s="27"/>
    </row>
    <row r="157" spans="1:9" x14ac:dyDescent="0.25">
      <c r="A157" s="27"/>
      <c r="B157" s="27"/>
      <c r="C157" s="27"/>
      <c r="D157" s="27"/>
      <c r="E157" s="27"/>
      <c r="F157" s="27"/>
      <c r="G157" s="27"/>
      <c r="H157" s="27"/>
      <c r="I157" s="27"/>
    </row>
    <row r="158" spans="1:9" x14ac:dyDescent="0.25">
      <c r="A158" s="27"/>
      <c r="B158" s="27"/>
      <c r="C158" s="27"/>
      <c r="D158" s="27"/>
      <c r="E158" s="27"/>
      <c r="F158" s="27"/>
      <c r="G158" s="27"/>
      <c r="H158" s="27"/>
      <c r="I158" s="27"/>
    </row>
    <row r="159" spans="1:9" x14ac:dyDescent="0.25">
      <c r="A159" s="27"/>
      <c r="B159" s="27"/>
      <c r="C159" s="27"/>
      <c r="D159" s="27"/>
      <c r="E159" s="27"/>
      <c r="F159" s="27"/>
      <c r="G159" s="27"/>
      <c r="H159" s="27"/>
      <c r="I159" s="27"/>
    </row>
    <row r="160" spans="1:9" x14ac:dyDescent="0.25">
      <c r="A160" s="27"/>
      <c r="B160" s="27"/>
      <c r="C160" s="27"/>
      <c r="D160" s="27"/>
      <c r="E160" s="27"/>
      <c r="F160" s="27"/>
      <c r="G160" s="27"/>
      <c r="H160" s="27"/>
      <c r="I160" s="27"/>
    </row>
    <row r="161" spans="1:9" x14ac:dyDescent="0.25">
      <c r="A161" s="27"/>
      <c r="B161" s="27"/>
      <c r="C161" s="27"/>
      <c r="D161" s="27"/>
      <c r="E161" s="27"/>
      <c r="F161" s="27"/>
      <c r="G161" s="27"/>
      <c r="H161" s="27"/>
      <c r="I161" s="27"/>
    </row>
    <row r="162" spans="1:9" x14ac:dyDescent="0.25">
      <c r="A162" s="27"/>
      <c r="B162" s="27"/>
      <c r="C162" s="27"/>
      <c r="D162" s="27"/>
      <c r="E162" s="27"/>
      <c r="F162" s="27"/>
      <c r="G162" s="27"/>
      <c r="H162" s="27"/>
      <c r="I162" s="27"/>
    </row>
    <row r="163" spans="1:9" x14ac:dyDescent="0.25">
      <c r="A163" s="27"/>
      <c r="B163" s="27"/>
      <c r="C163" s="27"/>
      <c r="D163" s="27"/>
      <c r="E163" s="27"/>
      <c r="F163" s="27"/>
      <c r="G163" s="27"/>
      <c r="H163" s="27"/>
      <c r="I163" s="27"/>
    </row>
    <row r="164" spans="1:9" x14ac:dyDescent="0.25">
      <c r="A164" s="27"/>
      <c r="B164" s="27"/>
      <c r="C164" s="27"/>
      <c r="D164" s="27"/>
      <c r="E164" s="27"/>
      <c r="F164" s="27"/>
      <c r="G164" s="27"/>
      <c r="H164" s="27"/>
      <c r="I164" s="27"/>
    </row>
    <row r="165" spans="1:9" x14ac:dyDescent="0.25">
      <c r="A165" s="27"/>
      <c r="B165" s="27"/>
      <c r="C165" s="27"/>
      <c r="D165" s="27"/>
      <c r="E165" s="27"/>
      <c r="F165" s="27"/>
      <c r="G165" s="27"/>
      <c r="H165" s="27"/>
      <c r="I165" s="27"/>
    </row>
    <row r="166" spans="1:9" x14ac:dyDescent="0.25">
      <c r="A166" s="27"/>
      <c r="B166" s="27"/>
      <c r="C166" s="27"/>
      <c r="D166" s="27"/>
      <c r="E166" s="27"/>
      <c r="F166" s="27"/>
      <c r="G166" s="27"/>
      <c r="H166" s="27"/>
      <c r="I166" s="27"/>
    </row>
    <row r="167" spans="1:9" x14ac:dyDescent="0.25">
      <c r="A167" s="27"/>
      <c r="B167" s="27"/>
      <c r="C167" s="27"/>
      <c r="D167" s="27"/>
      <c r="E167" s="27"/>
      <c r="F167" s="27"/>
      <c r="G167" s="27"/>
      <c r="H167" s="27"/>
      <c r="I167" s="27"/>
    </row>
    <row r="168" spans="1:9" x14ac:dyDescent="0.25">
      <c r="A168" s="27"/>
      <c r="B168" s="27"/>
      <c r="C168" s="27"/>
      <c r="D168" s="27"/>
      <c r="E168" s="27"/>
      <c r="F168" s="27"/>
      <c r="G168" s="27"/>
      <c r="H168" s="27"/>
      <c r="I168" s="27"/>
    </row>
    <row r="169" spans="1:9" x14ac:dyDescent="0.25">
      <c r="A169" s="27"/>
      <c r="B169" s="27"/>
      <c r="C169" s="27"/>
      <c r="D169" s="27"/>
      <c r="E169" s="27"/>
      <c r="F169" s="27"/>
      <c r="G169" s="27"/>
      <c r="H169" s="27"/>
      <c r="I169" s="27"/>
    </row>
    <row r="170" spans="1:9" x14ac:dyDescent="0.25">
      <c r="A170" s="27"/>
      <c r="B170" s="27"/>
      <c r="C170" s="27"/>
      <c r="D170" s="27"/>
      <c r="E170" s="27"/>
      <c r="F170" s="27"/>
      <c r="G170" s="27"/>
      <c r="H170" s="27"/>
      <c r="I170" s="27"/>
    </row>
    <row r="171" spans="1:9" x14ac:dyDescent="0.25">
      <c r="A171" s="27"/>
      <c r="B171" s="27"/>
      <c r="C171" s="27"/>
      <c r="D171" s="27"/>
      <c r="E171" s="27"/>
      <c r="F171" s="27"/>
      <c r="G171" s="27"/>
      <c r="H171" s="27"/>
      <c r="I171" s="27"/>
    </row>
    <row r="172" spans="1:9" x14ac:dyDescent="0.25">
      <c r="A172" s="27"/>
      <c r="B172" s="27"/>
      <c r="C172" s="27"/>
      <c r="D172" s="27"/>
      <c r="E172" s="27"/>
      <c r="F172" s="27"/>
      <c r="G172" s="27"/>
      <c r="H172" s="27"/>
      <c r="I172" s="27"/>
    </row>
    <row r="173" spans="1:9" x14ac:dyDescent="0.25">
      <c r="A173" s="27"/>
      <c r="B173" s="27"/>
      <c r="C173" s="27"/>
      <c r="D173" s="27"/>
      <c r="E173" s="27"/>
      <c r="F173" s="27"/>
      <c r="G173" s="27"/>
      <c r="H173" s="27"/>
      <c r="I173" s="27"/>
    </row>
    <row r="174" spans="1:9" x14ac:dyDescent="0.25">
      <c r="A174" s="27"/>
      <c r="B174" s="27"/>
      <c r="C174" s="27"/>
      <c r="D174" s="27"/>
      <c r="E174" s="27"/>
      <c r="F174" s="27"/>
      <c r="G174" s="27"/>
      <c r="H174" s="27"/>
      <c r="I174" s="27"/>
    </row>
    <row r="175" spans="1:9" x14ac:dyDescent="0.25">
      <c r="A175" s="27"/>
      <c r="B175" s="27"/>
      <c r="C175" s="27"/>
      <c r="D175" s="27"/>
      <c r="E175" s="27"/>
      <c r="F175" s="27"/>
      <c r="G175" s="27"/>
      <c r="H175" s="27"/>
      <c r="I175" s="27"/>
    </row>
    <row r="176" spans="1:9" x14ac:dyDescent="0.25">
      <c r="A176" s="27"/>
      <c r="B176" s="27"/>
      <c r="C176" s="27"/>
      <c r="D176" s="27"/>
      <c r="E176" s="27"/>
      <c r="F176" s="27"/>
      <c r="G176" s="27"/>
      <c r="H176" s="27"/>
      <c r="I176" s="27"/>
    </row>
    <row r="177" spans="1:9" x14ac:dyDescent="0.25">
      <c r="A177" s="27"/>
      <c r="B177" s="27"/>
      <c r="C177" s="27"/>
      <c r="D177" s="27"/>
      <c r="E177" s="27"/>
      <c r="F177" s="27"/>
      <c r="G177" s="27"/>
      <c r="H177" s="27"/>
      <c r="I177" s="27"/>
    </row>
    <row r="178" spans="1:9" x14ac:dyDescent="0.25">
      <c r="A178" s="27"/>
      <c r="B178" s="27"/>
      <c r="C178" s="27"/>
      <c r="D178" s="27"/>
      <c r="E178" s="27"/>
      <c r="F178" s="27"/>
      <c r="G178" s="27"/>
      <c r="H178" s="27"/>
      <c r="I178" s="27"/>
    </row>
    <row r="179" spans="1:9" x14ac:dyDescent="0.25">
      <c r="A179" s="27"/>
      <c r="B179" s="27"/>
      <c r="C179" s="27"/>
      <c r="D179" s="27"/>
      <c r="E179" s="27"/>
      <c r="F179" s="27"/>
      <c r="G179" s="27"/>
      <c r="H179" s="27"/>
      <c r="I179" s="27"/>
    </row>
    <row r="180" spans="1:9" x14ac:dyDescent="0.25">
      <c r="A180" s="27"/>
      <c r="B180" s="27"/>
      <c r="C180" s="27"/>
      <c r="D180" s="27"/>
      <c r="E180" s="27"/>
      <c r="F180" s="27"/>
      <c r="G180" s="27"/>
      <c r="H180" s="27"/>
      <c r="I180" s="27"/>
    </row>
    <row r="181" spans="1:9" x14ac:dyDescent="0.25">
      <c r="A181" s="27"/>
      <c r="B181" s="27"/>
      <c r="C181" s="27"/>
      <c r="D181" s="27"/>
      <c r="E181" s="27"/>
      <c r="F181" s="27"/>
      <c r="G181" s="27"/>
      <c r="H181" s="27"/>
      <c r="I181" s="27"/>
    </row>
    <row r="182" spans="1:9" x14ac:dyDescent="0.25">
      <c r="A182" s="27"/>
      <c r="B182" s="27"/>
      <c r="C182" s="27"/>
      <c r="D182" s="27"/>
      <c r="E182" s="27"/>
      <c r="F182" s="27"/>
      <c r="G182" s="27"/>
      <c r="H182" s="27"/>
      <c r="I182" s="27"/>
    </row>
    <row r="183" spans="1:9" x14ac:dyDescent="0.25">
      <c r="A183" s="27"/>
      <c r="B183" s="27"/>
      <c r="C183" s="27"/>
      <c r="D183" s="27"/>
      <c r="E183" s="27"/>
      <c r="F183" s="27"/>
      <c r="G183" s="27"/>
      <c r="H183" s="27"/>
      <c r="I183" s="27"/>
    </row>
    <row r="184" spans="1:9" x14ac:dyDescent="0.25">
      <c r="A184" s="27"/>
      <c r="B184" s="27"/>
      <c r="C184" s="27"/>
      <c r="D184" s="27"/>
      <c r="E184" s="27"/>
      <c r="F184" s="27"/>
      <c r="G184" s="27"/>
      <c r="H184" s="27"/>
      <c r="I184" s="27"/>
    </row>
    <row r="185" spans="1:9" x14ac:dyDescent="0.25">
      <c r="A185" s="27"/>
      <c r="B185" s="27"/>
      <c r="C185" s="27"/>
      <c r="D185" s="27"/>
      <c r="E185" s="27"/>
      <c r="F185" s="27"/>
      <c r="G185" s="27"/>
      <c r="H185" s="27"/>
      <c r="I185" s="27"/>
    </row>
    <row r="186" spans="1:9" x14ac:dyDescent="0.25">
      <c r="A186" s="27"/>
      <c r="B186" s="27"/>
      <c r="C186" s="27"/>
      <c r="D186" s="27"/>
      <c r="E186" s="27"/>
      <c r="F186" s="27"/>
      <c r="G186" s="27"/>
      <c r="H186" s="27"/>
      <c r="I186" s="27"/>
    </row>
    <row r="187" spans="1:9" x14ac:dyDescent="0.25">
      <c r="A187" s="27"/>
      <c r="B187" s="27"/>
      <c r="C187" s="27"/>
      <c r="D187" s="27"/>
      <c r="E187" s="27"/>
      <c r="F187" s="27"/>
      <c r="G187" s="27"/>
      <c r="H187" s="27"/>
      <c r="I187" s="27"/>
    </row>
    <row r="188" spans="1:9" x14ac:dyDescent="0.25">
      <c r="A188" s="27"/>
      <c r="B188" s="27"/>
      <c r="C188" s="27"/>
      <c r="D188" s="27"/>
      <c r="E188" s="27"/>
      <c r="F188" s="27"/>
      <c r="G188" s="27"/>
      <c r="H188" s="27"/>
      <c r="I188" s="27"/>
    </row>
    <row r="189" spans="1:9" x14ac:dyDescent="0.25">
      <c r="A189" s="27"/>
      <c r="B189" s="27"/>
      <c r="C189" s="27"/>
      <c r="D189" s="27"/>
      <c r="E189" s="27"/>
      <c r="F189" s="27"/>
      <c r="G189" s="27"/>
      <c r="H189" s="27"/>
      <c r="I189" s="27"/>
    </row>
    <row r="190" spans="1:9" x14ac:dyDescent="0.25">
      <c r="A190" s="27"/>
      <c r="B190" s="27"/>
      <c r="C190" s="27"/>
      <c r="D190" s="27"/>
      <c r="E190" s="27"/>
      <c r="F190" s="27"/>
      <c r="G190" s="27"/>
      <c r="H190" s="27"/>
      <c r="I190" s="27"/>
    </row>
    <row r="191" spans="1:9" x14ac:dyDescent="0.25">
      <c r="A191" s="27"/>
      <c r="B191" s="27"/>
      <c r="C191" s="27"/>
      <c r="D191" s="27"/>
      <c r="E191" s="27"/>
      <c r="F191" s="27"/>
      <c r="G191" s="27"/>
      <c r="H191" s="27"/>
      <c r="I191" s="27"/>
    </row>
    <row r="192" spans="1:9" x14ac:dyDescent="0.25">
      <c r="A192" s="27"/>
      <c r="B192" s="27"/>
      <c r="C192" s="27"/>
      <c r="D192" s="27"/>
      <c r="E192" s="27"/>
      <c r="F192" s="27"/>
      <c r="G192" s="27"/>
      <c r="H192" s="27"/>
      <c r="I192" s="27"/>
    </row>
    <row r="193" spans="1:9" x14ac:dyDescent="0.25">
      <c r="A193" s="27"/>
      <c r="B193" s="27"/>
      <c r="C193" s="27"/>
      <c r="D193" s="27"/>
      <c r="E193" s="27"/>
      <c r="F193" s="27"/>
      <c r="G193" s="27"/>
      <c r="H193" s="27"/>
      <c r="I193" s="27"/>
    </row>
    <row r="194" spans="1:9" x14ac:dyDescent="0.25">
      <c r="A194" s="27"/>
      <c r="B194" s="27"/>
      <c r="C194" s="27"/>
      <c r="D194" s="27"/>
      <c r="E194" s="27"/>
      <c r="F194" s="27"/>
      <c r="G194" s="27"/>
      <c r="H194" s="27"/>
      <c r="I194" s="27"/>
    </row>
    <row r="195" spans="1:9" x14ac:dyDescent="0.25">
      <c r="A195" s="27"/>
      <c r="B195" s="27"/>
      <c r="C195" s="27"/>
      <c r="D195" s="27"/>
      <c r="E195" s="27"/>
      <c r="F195" s="27"/>
      <c r="G195" s="27"/>
      <c r="H195" s="27"/>
      <c r="I195" s="27"/>
    </row>
    <row r="196" spans="1:9" x14ac:dyDescent="0.25">
      <c r="A196" s="27"/>
      <c r="B196" s="27"/>
      <c r="C196" s="27"/>
      <c r="D196" s="27"/>
      <c r="E196" s="27"/>
      <c r="F196" s="27"/>
      <c r="G196" s="27"/>
      <c r="H196" s="27"/>
      <c r="I196" s="27"/>
    </row>
    <row r="197" spans="1:9" x14ac:dyDescent="0.25">
      <c r="A197" s="27"/>
      <c r="B197" s="27"/>
      <c r="C197" s="27"/>
      <c r="D197" s="27"/>
      <c r="E197" s="27"/>
      <c r="F197" s="27"/>
      <c r="G197" s="27"/>
      <c r="H197" s="27"/>
      <c r="I197" s="27"/>
    </row>
    <row r="198" spans="1:9" x14ac:dyDescent="0.25">
      <c r="A198" s="27"/>
      <c r="B198" s="27"/>
      <c r="C198" s="27"/>
      <c r="D198" s="27"/>
      <c r="E198" s="27"/>
      <c r="F198" s="27"/>
      <c r="G198" s="27"/>
      <c r="H198" s="27"/>
      <c r="I198" s="27"/>
    </row>
    <row r="199" spans="1:9" x14ac:dyDescent="0.25">
      <c r="A199" s="27"/>
      <c r="B199" s="27"/>
      <c r="C199" s="27"/>
      <c r="D199" s="27"/>
      <c r="E199" s="27"/>
      <c r="F199" s="27"/>
      <c r="G199" s="27"/>
      <c r="H199" s="27"/>
      <c r="I199" s="27"/>
    </row>
    <row r="200" spans="1:9" x14ac:dyDescent="0.25">
      <c r="A200" s="27"/>
      <c r="B200" s="27"/>
      <c r="C200" s="27"/>
      <c r="D200" s="27"/>
      <c r="E200" s="27"/>
      <c r="F200" s="27"/>
      <c r="G200" s="27"/>
      <c r="H200" s="27"/>
      <c r="I200" s="27"/>
    </row>
  </sheetData>
  <mergeCells count="2">
    <mergeCell ref="A1:I1"/>
    <mergeCell ref="A2:I2"/>
  </mergeCells>
  <conditionalFormatting sqref="H6:H300">
    <cfRule type="containsText" dxfId="11" priority="1" operator="containsText" text="Open"/>
    <cfRule type="containsText" dxfId="10" priority="3" operator="containsText" text="Approved"/>
    <cfRule type="containsText" dxfId="9" priority="5" operator="containsText" text="In Progress"/>
    <cfRule type="containsText" dxfId="8" priority="6" operator="containsText" text="Draft"/>
  </conditionalFormatting>
  <dataValidations count="2">
    <dataValidation type="list" allowBlank="1" sqref="C6:C300" xr:uid="{00000000-0002-0000-0800-000000000000}">
      <formula1>"Data Owner,Data Steward,Data Custodian,Business SME,Technical Lead,Privacy / Security Reviewer,Implementation Partner"</formula1>
    </dataValidation>
    <dataValidation type="list" allowBlank="1" sqref="H6:H300" xr:uid="{00000000-0002-0000-0800-000001000000}">
      <formula1>"Proposed,Confirmed,Vacant,Needs Review"</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300"/>
  <sheetViews>
    <sheetView workbookViewId="0">
      <pane ySplit="3" topLeftCell="A4" activePane="bottomLeft" state="frozen"/>
      <selection pane="bottomLeft"/>
    </sheetView>
  </sheetViews>
  <sheetFormatPr defaultRowHeight="15" x14ac:dyDescent="0.25"/>
  <cols>
    <col min="1" max="1" width="10" style="1" customWidth="1"/>
    <col min="2" max="2" width="12" style="1" customWidth="1"/>
    <col min="3" max="4" width="18" style="1" customWidth="1"/>
    <col min="5" max="5" width="30" style="1" customWidth="1"/>
    <col min="6" max="6" width="22" style="1" customWidth="1"/>
    <col min="7" max="7" width="24" style="1" customWidth="1"/>
    <col min="8" max="8" width="15" style="1" customWidth="1"/>
    <col min="9" max="9" width="12" style="1" customWidth="1"/>
    <col min="10" max="10" width="22" style="1" customWidth="1"/>
    <col min="11" max="11" width="18" style="1" customWidth="1"/>
    <col min="12" max="12" width="20" style="1" customWidth="1"/>
    <col min="13" max="13" width="14" style="1" customWidth="1"/>
    <col min="14" max="14" width="12" style="1" customWidth="1"/>
    <col min="15" max="15" width="11" style="1" customWidth="1"/>
    <col min="16" max="16" width="28" style="1" customWidth="1"/>
  </cols>
  <sheetData>
    <row r="1" spans="1:52" ht="24" customHeight="1" x14ac:dyDescent="0.25">
      <c r="A1" s="59" t="s">
        <v>454</v>
      </c>
      <c r="B1" s="59"/>
      <c r="C1" s="59"/>
      <c r="D1" s="59"/>
      <c r="E1" s="59"/>
      <c r="F1" s="59"/>
      <c r="G1" s="59"/>
      <c r="H1" s="59"/>
      <c r="I1" s="59"/>
      <c r="J1" s="59"/>
      <c r="K1" s="59"/>
      <c r="L1" s="59"/>
      <c r="M1" s="59"/>
      <c r="N1" s="59"/>
      <c r="O1" s="59"/>
      <c r="P1" s="59"/>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455</v>
      </c>
      <c r="B2" s="57"/>
      <c r="C2" s="57"/>
      <c r="D2" s="57"/>
      <c r="E2" s="57"/>
      <c r="F2" s="57"/>
      <c r="G2" s="57"/>
      <c r="H2" s="57"/>
      <c r="I2" s="57"/>
      <c r="J2" s="57"/>
      <c r="K2" s="57"/>
      <c r="L2" s="57"/>
      <c r="M2" s="57"/>
      <c r="N2" s="57"/>
      <c r="O2" s="57"/>
      <c r="P2" s="58"/>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456</v>
      </c>
      <c r="B3" s="24"/>
      <c r="C3" s="24"/>
      <c r="D3" s="24"/>
      <c r="E3" s="24"/>
      <c r="F3" s="25" t="s">
        <v>457</v>
      </c>
      <c r="G3" s="25"/>
      <c r="H3" s="25"/>
      <c r="I3" s="25"/>
      <c r="J3" s="25"/>
      <c r="K3" s="26" t="s">
        <v>38</v>
      </c>
      <c r="L3" s="26"/>
      <c r="M3" s="26"/>
      <c r="N3" s="26"/>
      <c r="O3" s="26"/>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458</v>
      </c>
      <c r="B4" s="49" t="s">
        <v>459</v>
      </c>
      <c r="C4" s="49" t="s">
        <v>460</v>
      </c>
      <c r="D4" s="49" t="s">
        <v>461</v>
      </c>
      <c r="E4" s="49" t="s">
        <v>462</v>
      </c>
      <c r="F4" s="49" t="s">
        <v>463</v>
      </c>
      <c r="G4" s="49" t="s">
        <v>464</v>
      </c>
      <c r="H4" s="49" t="s">
        <v>465</v>
      </c>
      <c r="I4" s="49" t="s">
        <v>466</v>
      </c>
      <c r="J4" s="49" t="s">
        <v>467</v>
      </c>
      <c r="K4" s="49" t="s">
        <v>468</v>
      </c>
      <c r="L4" s="49" t="s">
        <v>469</v>
      </c>
      <c r="M4" s="49" t="s">
        <v>470</v>
      </c>
      <c r="N4" s="49" t="s">
        <v>471</v>
      </c>
      <c r="O4" s="49" t="s">
        <v>66</v>
      </c>
      <c r="P4" s="50" t="s">
        <v>67</v>
      </c>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472</v>
      </c>
      <c r="B5" s="23" t="s">
        <v>473</v>
      </c>
      <c r="C5" s="23" t="s">
        <v>474</v>
      </c>
      <c r="D5" s="23" t="s">
        <v>475</v>
      </c>
      <c r="E5" s="23" t="s">
        <v>476</v>
      </c>
      <c r="F5" s="23" t="s">
        <v>477</v>
      </c>
      <c r="G5" s="23" t="s">
        <v>478</v>
      </c>
      <c r="H5" s="23" t="s">
        <v>479</v>
      </c>
      <c r="I5" s="23" t="s">
        <v>480</v>
      </c>
      <c r="J5" s="23" t="s">
        <v>481</v>
      </c>
      <c r="K5" s="23" t="s">
        <v>482</v>
      </c>
      <c r="L5" s="23" t="s">
        <v>483</v>
      </c>
      <c r="M5" s="23" t="s">
        <v>484</v>
      </c>
      <c r="N5" s="23" t="s">
        <v>485</v>
      </c>
      <c r="O5" s="23" t="s">
        <v>486</v>
      </c>
      <c r="P5" s="8" t="s">
        <v>487</v>
      </c>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54" x14ac:dyDescent="0.25">
      <c r="A6" s="27" t="s">
        <v>488</v>
      </c>
      <c r="B6" s="28" t="s">
        <v>80</v>
      </c>
      <c r="C6" s="27" t="s">
        <v>489</v>
      </c>
      <c r="D6" s="27" t="s">
        <v>81</v>
      </c>
      <c r="E6" s="27" t="s">
        <v>490</v>
      </c>
      <c r="F6" s="27" t="s">
        <v>491</v>
      </c>
      <c r="G6" s="27" t="s">
        <v>492</v>
      </c>
      <c r="H6" s="27" t="s">
        <v>137</v>
      </c>
      <c r="I6" s="28" t="s">
        <v>80</v>
      </c>
      <c r="J6" s="27" t="s">
        <v>493</v>
      </c>
      <c r="K6" s="27" t="s">
        <v>81</v>
      </c>
      <c r="L6" s="27" t="s">
        <v>494</v>
      </c>
      <c r="M6" s="27" t="s">
        <v>183</v>
      </c>
      <c r="N6" s="28" t="s">
        <v>495</v>
      </c>
      <c r="O6" s="27" t="s">
        <v>496</v>
      </c>
      <c r="P6" s="3" t="s">
        <v>497</v>
      </c>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x14ac:dyDescent="0.25">
      <c r="A7" s="27"/>
      <c r="B7" s="28"/>
      <c r="C7" s="27"/>
      <c r="D7" s="27"/>
      <c r="E7" s="27"/>
      <c r="F7" s="27"/>
      <c r="G7" s="27"/>
      <c r="H7" s="27"/>
      <c r="I7" s="28"/>
      <c r="J7" s="27"/>
      <c r="K7" s="27"/>
      <c r="L7" s="27"/>
      <c r="M7" s="27"/>
      <c r="N7" s="28"/>
      <c r="O7" s="27"/>
      <c r="P7" s="4"/>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8"/>
      <c r="C8" s="27"/>
      <c r="D8" s="27"/>
      <c r="E8" s="27"/>
      <c r="F8" s="27"/>
      <c r="G8" s="27"/>
      <c r="H8" s="27"/>
      <c r="I8" s="28"/>
      <c r="J8" s="27"/>
      <c r="K8" s="27"/>
      <c r="L8" s="27"/>
      <c r="M8" s="27"/>
      <c r="N8" s="28"/>
      <c r="O8" s="27"/>
      <c r="P8" s="4"/>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8"/>
      <c r="C9" s="27"/>
      <c r="D9" s="27"/>
      <c r="E9" s="27"/>
      <c r="F9" s="27"/>
      <c r="G9" s="27"/>
      <c r="H9" s="27"/>
      <c r="I9" s="28"/>
      <c r="J9" s="27"/>
      <c r="K9" s="27"/>
      <c r="L9" s="27"/>
      <c r="M9" s="27"/>
      <c r="N9" s="28"/>
      <c r="O9" s="27"/>
      <c r="P9" s="4"/>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8"/>
      <c r="C10" s="27"/>
      <c r="D10" s="27"/>
      <c r="E10" s="27"/>
      <c r="F10" s="27"/>
      <c r="G10" s="27"/>
      <c r="H10" s="27"/>
      <c r="I10" s="28"/>
      <c r="J10" s="27"/>
      <c r="K10" s="27"/>
      <c r="L10" s="27"/>
      <c r="M10" s="27"/>
      <c r="N10" s="28"/>
      <c r="O10" s="27"/>
      <c r="P10" s="4"/>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8"/>
      <c r="C11" s="27"/>
      <c r="D11" s="27"/>
      <c r="E11" s="27"/>
      <c r="F11" s="27"/>
      <c r="G11" s="27"/>
      <c r="H11" s="27"/>
      <c r="I11" s="28"/>
      <c r="J11" s="27"/>
      <c r="K11" s="27"/>
      <c r="L11" s="27"/>
      <c r="M11" s="27"/>
      <c r="N11" s="28"/>
      <c r="O11" s="27"/>
      <c r="P11" s="4"/>
    </row>
    <row r="12" spans="1:52" x14ac:dyDescent="0.25">
      <c r="A12" s="27"/>
      <c r="B12" s="28"/>
      <c r="C12" s="27"/>
      <c r="D12" s="27"/>
      <c r="E12" s="27"/>
      <c r="F12" s="27"/>
      <c r="G12" s="27"/>
      <c r="H12" s="27"/>
      <c r="I12" s="28"/>
      <c r="J12" s="27"/>
      <c r="K12" s="27"/>
      <c r="L12" s="27"/>
      <c r="M12" s="27"/>
      <c r="N12" s="28"/>
      <c r="O12" s="27"/>
      <c r="P12" s="4"/>
    </row>
    <row r="13" spans="1:52" x14ac:dyDescent="0.25">
      <c r="A13" s="27"/>
      <c r="B13" s="28"/>
      <c r="C13" s="27"/>
      <c r="D13" s="27"/>
      <c r="E13" s="27"/>
      <c r="F13" s="27"/>
      <c r="G13" s="27"/>
      <c r="H13" s="27"/>
      <c r="I13" s="28"/>
      <c r="J13" s="27"/>
      <c r="K13" s="27"/>
      <c r="L13" s="27"/>
      <c r="M13" s="27"/>
      <c r="N13" s="28"/>
      <c r="O13" s="27"/>
      <c r="P13" s="4"/>
    </row>
    <row r="14" spans="1:52" x14ac:dyDescent="0.25">
      <c r="A14" s="27"/>
      <c r="B14" s="28"/>
      <c r="C14" s="27"/>
      <c r="D14" s="27"/>
      <c r="E14" s="27"/>
      <c r="F14" s="27"/>
      <c r="G14" s="27"/>
      <c r="H14" s="27"/>
      <c r="I14" s="28"/>
      <c r="J14" s="27"/>
      <c r="K14" s="27"/>
      <c r="L14" s="27"/>
      <c r="M14" s="27"/>
      <c r="N14" s="28"/>
      <c r="O14" s="27"/>
      <c r="P14" s="4"/>
    </row>
    <row r="15" spans="1:52" x14ac:dyDescent="0.25">
      <c r="A15" s="27"/>
      <c r="B15" s="28"/>
      <c r="C15" s="27"/>
      <c r="D15" s="27"/>
      <c r="E15" s="27"/>
      <c r="F15" s="27"/>
      <c r="G15" s="27"/>
      <c r="H15" s="27"/>
      <c r="I15" s="28"/>
      <c r="J15" s="27"/>
      <c r="K15" s="27"/>
      <c r="L15" s="27"/>
      <c r="M15" s="27"/>
      <c r="N15" s="28"/>
      <c r="O15" s="27"/>
      <c r="P15" s="4"/>
    </row>
    <row r="16" spans="1:52" x14ac:dyDescent="0.25">
      <c r="A16" s="27"/>
      <c r="B16" s="28"/>
      <c r="C16" s="27"/>
      <c r="D16" s="27"/>
      <c r="E16" s="27"/>
      <c r="F16" s="27"/>
      <c r="G16" s="27"/>
      <c r="H16" s="27"/>
      <c r="I16" s="28"/>
      <c r="J16" s="27"/>
      <c r="K16" s="27"/>
      <c r="L16" s="27"/>
      <c r="M16" s="27"/>
      <c r="N16" s="28"/>
      <c r="O16" s="27"/>
      <c r="P16" s="4"/>
    </row>
    <row r="17" spans="1:16" x14ac:dyDescent="0.25">
      <c r="A17" s="27"/>
      <c r="B17" s="28"/>
      <c r="C17" s="27"/>
      <c r="D17" s="27"/>
      <c r="E17" s="27"/>
      <c r="F17" s="27"/>
      <c r="G17" s="27"/>
      <c r="H17" s="27"/>
      <c r="I17" s="28"/>
      <c r="J17" s="27"/>
      <c r="K17" s="27"/>
      <c r="L17" s="27"/>
      <c r="M17" s="27"/>
      <c r="N17" s="28"/>
      <c r="O17" s="27"/>
      <c r="P17" s="4"/>
    </row>
    <row r="18" spans="1:16" x14ac:dyDescent="0.25">
      <c r="A18" s="27"/>
      <c r="B18" s="28"/>
      <c r="C18" s="27"/>
      <c r="D18" s="27"/>
      <c r="E18" s="27"/>
      <c r="F18" s="27"/>
      <c r="G18" s="27"/>
      <c r="H18" s="27"/>
      <c r="I18" s="28"/>
      <c r="J18" s="27"/>
      <c r="K18" s="27"/>
      <c r="L18" s="27"/>
      <c r="M18" s="27"/>
      <c r="N18" s="28"/>
      <c r="O18" s="27"/>
      <c r="P18" s="4"/>
    </row>
    <row r="19" spans="1:16" x14ac:dyDescent="0.25">
      <c r="A19" s="27"/>
      <c r="B19" s="28"/>
      <c r="C19" s="27"/>
      <c r="D19" s="27"/>
      <c r="E19" s="27"/>
      <c r="F19" s="27"/>
      <c r="G19" s="27"/>
      <c r="H19" s="27"/>
      <c r="I19" s="28"/>
      <c r="J19" s="27"/>
      <c r="K19" s="27"/>
      <c r="L19" s="27"/>
      <c r="M19" s="27"/>
      <c r="N19" s="28"/>
      <c r="O19" s="27"/>
      <c r="P19" s="4"/>
    </row>
    <row r="20" spans="1:16" x14ac:dyDescent="0.25">
      <c r="A20" s="27"/>
      <c r="B20" s="28"/>
      <c r="C20" s="27"/>
      <c r="D20" s="27"/>
      <c r="E20" s="27"/>
      <c r="F20" s="27"/>
      <c r="G20" s="27"/>
      <c r="H20" s="27"/>
      <c r="I20" s="28"/>
      <c r="J20" s="27"/>
      <c r="K20" s="27"/>
      <c r="L20" s="27"/>
      <c r="M20" s="27"/>
      <c r="N20" s="28"/>
      <c r="O20" s="27"/>
      <c r="P20" s="4"/>
    </row>
    <row r="21" spans="1:16" x14ac:dyDescent="0.25">
      <c r="A21" s="27"/>
      <c r="B21" s="28"/>
      <c r="C21" s="27"/>
      <c r="D21" s="27"/>
      <c r="E21" s="27"/>
      <c r="F21" s="27"/>
      <c r="G21" s="27"/>
      <c r="H21" s="27"/>
      <c r="I21" s="28"/>
      <c r="J21" s="27"/>
      <c r="K21" s="27"/>
      <c r="L21" s="27"/>
      <c r="M21" s="27"/>
      <c r="N21" s="28"/>
      <c r="O21" s="27"/>
      <c r="P21" s="4"/>
    </row>
    <row r="22" spans="1:16" x14ac:dyDescent="0.25">
      <c r="A22" s="27"/>
      <c r="B22" s="28"/>
      <c r="C22" s="27"/>
      <c r="D22" s="27"/>
      <c r="E22" s="27"/>
      <c r="F22" s="27"/>
      <c r="G22" s="27"/>
      <c r="H22" s="27"/>
      <c r="I22" s="28"/>
      <c r="J22" s="27"/>
      <c r="K22" s="27"/>
      <c r="L22" s="27"/>
      <c r="M22" s="27"/>
      <c r="N22" s="28"/>
      <c r="O22" s="27"/>
      <c r="P22" s="4"/>
    </row>
    <row r="23" spans="1:16" x14ac:dyDescent="0.25">
      <c r="A23" s="27"/>
      <c r="B23" s="28"/>
      <c r="C23" s="27"/>
      <c r="D23" s="27"/>
      <c r="E23" s="27"/>
      <c r="F23" s="27"/>
      <c r="G23" s="27"/>
      <c r="H23" s="27"/>
      <c r="I23" s="28"/>
      <c r="J23" s="27"/>
      <c r="K23" s="27"/>
      <c r="L23" s="27"/>
      <c r="M23" s="27"/>
      <c r="N23" s="28"/>
      <c r="O23" s="27"/>
      <c r="P23" s="4"/>
    </row>
    <row r="24" spans="1:16" x14ac:dyDescent="0.25">
      <c r="A24" s="27"/>
      <c r="B24" s="28"/>
      <c r="C24" s="27"/>
      <c r="D24" s="27"/>
      <c r="E24" s="27"/>
      <c r="F24" s="27"/>
      <c r="G24" s="27"/>
      <c r="H24" s="27"/>
      <c r="I24" s="28"/>
      <c r="J24" s="27"/>
      <c r="K24" s="27"/>
      <c r="L24" s="27"/>
      <c r="M24" s="27"/>
      <c r="N24" s="28"/>
      <c r="O24" s="27"/>
      <c r="P24" s="4"/>
    </row>
    <row r="25" spans="1:16" x14ac:dyDescent="0.25">
      <c r="A25" s="27"/>
      <c r="B25" s="28"/>
      <c r="C25" s="27"/>
      <c r="D25" s="27"/>
      <c r="E25" s="27"/>
      <c r="F25" s="27"/>
      <c r="G25" s="27"/>
      <c r="H25" s="27"/>
      <c r="I25" s="28"/>
      <c r="J25" s="27"/>
      <c r="K25" s="27"/>
      <c r="L25" s="27"/>
      <c r="M25" s="27"/>
      <c r="N25" s="28"/>
      <c r="O25" s="27"/>
      <c r="P25" s="4"/>
    </row>
    <row r="26" spans="1:16" x14ac:dyDescent="0.25">
      <c r="A26" s="27"/>
      <c r="B26" s="28"/>
      <c r="C26" s="27"/>
      <c r="D26" s="27"/>
      <c r="E26" s="27"/>
      <c r="F26" s="27"/>
      <c r="G26" s="27"/>
      <c r="H26" s="27"/>
      <c r="I26" s="28"/>
      <c r="J26" s="27"/>
      <c r="K26" s="27"/>
      <c r="L26" s="27"/>
      <c r="M26" s="27"/>
      <c r="N26" s="28"/>
      <c r="O26" s="27"/>
      <c r="P26" s="4"/>
    </row>
    <row r="27" spans="1:16" x14ac:dyDescent="0.25">
      <c r="A27" s="27"/>
      <c r="B27" s="28"/>
      <c r="C27" s="27"/>
      <c r="D27" s="27"/>
      <c r="E27" s="27"/>
      <c r="F27" s="27"/>
      <c r="G27" s="27"/>
      <c r="H27" s="27"/>
      <c r="I27" s="28"/>
      <c r="J27" s="27"/>
      <c r="K27" s="27"/>
      <c r="L27" s="27"/>
      <c r="M27" s="27"/>
      <c r="N27" s="28"/>
      <c r="O27" s="27"/>
      <c r="P27" s="4"/>
    </row>
    <row r="28" spans="1:16" x14ac:dyDescent="0.25">
      <c r="A28" s="27"/>
      <c r="B28" s="28"/>
      <c r="C28" s="27"/>
      <c r="D28" s="27"/>
      <c r="E28" s="27"/>
      <c r="F28" s="27"/>
      <c r="G28" s="27"/>
      <c r="H28" s="27"/>
      <c r="I28" s="28"/>
      <c r="J28" s="27"/>
      <c r="K28" s="27"/>
      <c r="L28" s="27"/>
      <c r="M28" s="27"/>
      <c r="N28" s="28"/>
      <c r="O28" s="27"/>
      <c r="P28" s="4"/>
    </row>
    <row r="29" spans="1:16" x14ac:dyDescent="0.25">
      <c r="A29" s="27"/>
      <c r="B29" s="28"/>
      <c r="C29" s="27"/>
      <c r="D29" s="27"/>
      <c r="E29" s="27"/>
      <c r="F29" s="27"/>
      <c r="G29" s="27"/>
      <c r="H29" s="27"/>
      <c r="I29" s="28"/>
      <c r="J29" s="27"/>
      <c r="K29" s="27"/>
      <c r="L29" s="27"/>
      <c r="M29" s="27"/>
      <c r="N29" s="28"/>
      <c r="O29" s="27"/>
      <c r="P29" s="4"/>
    </row>
    <row r="30" spans="1:16" x14ac:dyDescent="0.25">
      <c r="A30" s="27"/>
      <c r="B30" s="28"/>
      <c r="C30" s="27"/>
      <c r="D30" s="27"/>
      <c r="E30" s="27"/>
      <c r="F30" s="27"/>
      <c r="G30" s="27"/>
      <c r="H30" s="27"/>
      <c r="I30" s="28"/>
      <c r="J30" s="27"/>
      <c r="K30" s="27"/>
      <c r="L30" s="27"/>
      <c r="M30" s="27"/>
      <c r="N30" s="28"/>
      <c r="O30" s="27"/>
      <c r="P30" s="4"/>
    </row>
    <row r="31" spans="1:16" x14ac:dyDescent="0.25">
      <c r="A31" s="27"/>
      <c r="B31" s="28"/>
      <c r="C31" s="27"/>
      <c r="D31" s="27"/>
      <c r="E31" s="27"/>
      <c r="F31" s="27"/>
      <c r="G31" s="27"/>
      <c r="H31" s="27"/>
      <c r="I31" s="28"/>
      <c r="J31" s="27"/>
      <c r="K31" s="27"/>
      <c r="L31" s="27"/>
      <c r="M31" s="27"/>
      <c r="N31" s="28"/>
      <c r="O31" s="27"/>
      <c r="P31" s="4"/>
    </row>
    <row r="32" spans="1:16" x14ac:dyDescent="0.25">
      <c r="A32" s="27"/>
      <c r="B32" s="28"/>
      <c r="C32" s="27"/>
      <c r="D32" s="27"/>
      <c r="E32" s="27"/>
      <c r="F32" s="27"/>
      <c r="G32" s="27"/>
      <c r="H32" s="27"/>
      <c r="I32" s="28"/>
      <c r="J32" s="27"/>
      <c r="K32" s="27"/>
      <c r="L32" s="27"/>
      <c r="M32" s="27"/>
      <c r="N32" s="28"/>
      <c r="O32" s="27"/>
      <c r="P32" s="4"/>
    </row>
    <row r="33" spans="1:16" x14ac:dyDescent="0.25">
      <c r="A33" s="27"/>
      <c r="B33" s="28"/>
      <c r="C33" s="27"/>
      <c r="D33" s="27"/>
      <c r="E33" s="27"/>
      <c r="F33" s="27"/>
      <c r="G33" s="27"/>
      <c r="H33" s="27"/>
      <c r="I33" s="28"/>
      <c r="J33" s="27"/>
      <c r="K33" s="27"/>
      <c r="L33" s="27"/>
      <c r="M33" s="27"/>
      <c r="N33" s="28"/>
      <c r="O33" s="27"/>
      <c r="P33" s="4"/>
    </row>
    <row r="34" spans="1:16" x14ac:dyDescent="0.25">
      <c r="A34" s="27"/>
      <c r="B34" s="28"/>
      <c r="C34" s="27"/>
      <c r="D34" s="27"/>
      <c r="E34" s="27"/>
      <c r="F34" s="27"/>
      <c r="G34" s="27"/>
      <c r="H34" s="27"/>
      <c r="I34" s="28"/>
      <c r="J34" s="27"/>
      <c r="K34" s="27"/>
      <c r="L34" s="27"/>
      <c r="M34" s="27"/>
      <c r="N34" s="28"/>
      <c r="O34" s="27"/>
      <c r="P34" s="4"/>
    </row>
    <row r="35" spans="1:16" x14ac:dyDescent="0.25">
      <c r="A35" s="27"/>
      <c r="B35" s="28"/>
      <c r="C35" s="27"/>
      <c r="D35" s="27"/>
      <c r="E35" s="27"/>
      <c r="F35" s="27"/>
      <c r="G35" s="27"/>
      <c r="H35" s="27"/>
      <c r="I35" s="28"/>
      <c r="J35" s="27"/>
      <c r="K35" s="27"/>
      <c r="L35" s="27"/>
      <c r="M35" s="27"/>
      <c r="N35" s="28"/>
      <c r="O35" s="27"/>
      <c r="P35" s="4"/>
    </row>
    <row r="36" spans="1:16" x14ac:dyDescent="0.25">
      <c r="A36" s="27"/>
      <c r="B36" s="28"/>
      <c r="C36" s="27"/>
      <c r="D36" s="27"/>
      <c r="E36" s="27"/>
      <c r="F36" s="27"/>
      <c r="G36" s="27"/>
      <c r="H36" s="27"/>
      <c r="I36" s="28"/>
      <c r="J36" s="27"/>
      <c r="K36" s="27"/>
      <c r="L36" s="27"/>
      <c r="M36" s="27"/>
      <c r="N36" s="28"/>
      <c r="O36" s="27"/>
      <c r="P36" s="4"/>
    </row>
    <row r="37" spans="1:16" x14ac:dyDescent="0.25">
      <c r="A37" s="27"/>
      <c r="B37" s="28"/>
      <c r="C37" s="27"/>
      <c r="D37" s="27"/>
      <c r="E37" s="27"/>
      <c r="F37" s="27"/>
      <c r="G37" s="27"/>
      <c r="H37" s="27"/>
      <c r="I37" s="28"/>
      <c r="J37" s="27"/>
      <c r="K37" s="27"/>
      <c r="L37" s="27"/>
      <c r="M37" s="27"/>
      <c r="N37" s="28"/>
      <c r="O37" s="27"/>
      <c r="P37" s="4"/>
    </row>
    <row r="38" spans="1:16" x14ac:dyDescent="0.25">
      <c r="A38" s="27"/>
      <c r="B38" s="28"/>
      <c r="C38" s="27"/>
      <c r="D38" s="27"/>
      <c r="E38" s="27"/>
      <c r="F38" s="27"/>
      <c r="G38" s="27"/>
      <c r="H38" s="27"/>
      <c r="I38" s="28"/>
      <c r="J38" s="27"/>
      <c r="K38" s="27"/>
      <c r="L38" s="27"/>
      <c r="M38" s="27"/>
      <c r="N38" s="28"/>
      <c r="O38" s="27"/>
      <c r="P38" s="4"/>
    </row>
    <row r="39" spans="1:16" x14ac:dyDescent="0.25">
      <c r="A39" s="27"/>
      <c r="B39" s="28"/>
      <c r="C39" s="27"/>
      <c r="D39" s="27"/>
      <c r="E39" s="27"/>
      <c r="F39" s="27"/>
      <c r="G39" s="27"/>
      <c r="H39" s="27"/>
      <c r="I39" s="28"/>
      <c r="J39" s="27"/>
      <c r="K39" s="27"/>
      <c r="L39" s="27"/>
      <c r="M39" s="27"/>
      <c r="N39" s="28"/>
      <c r="O39" s="27"/>
      <c r="P39" s="4"/>
    </row>
    <row r="40" spans="1:16" x14ac:dyDescent="0.25">
      <c r="A40" s="27"/>
      <c r="B40" s="28"/>
      <c r="C40" s="27"/>
      <c r="D40" s="27"/>
      <c r="E40" s="27"/>
      <c r="F40" s="27"/>
      <c r="G40" s="27"/>
      <c r="H40" s="27"/>
      <c r="I40" s="28"/>
      <c r="J40" s="27"/>
      <c r="K40" s="27"/>
      <c r="L40" s="27"/>
      <c r="M40" s="27"/>
      <c r="N40" s="28"/>
      <c r="O40" s="27"/>
      <c r="P40" s="4"/>
    </row>
    <row r="41" spans="1:16" x14ac:dyDescent="0.25">
      <c r="A41" s="27"/>
      <c r="B41" s="28"/>
      <c r="C41" s="27"/>
      <c r="D41" s="27"/>
      <c r="E41" s="27"/>
      <c r="F41" s="27"/>
      <c r="G41" s="27"/>
      <c r="H41" s="27"/>
      <c r="I41" s="28"/>
      <c r="J41" s="27"/>
      <c r="K41" s="27"/>
      <c r="L41" s="27"/>
      <c r="M41" s="27"/>
      <c r="N41" s="28"/>
      <c r="O41" s="27"/>
      <c r="P41" s="4"/>
    </row>
    <row r="42" spans="1:16" x14ac:dyDescent="0.25">
      <c r="A42" s="27"/>
      <c r="B42" s="28"/>
      <c r="C42" s="27"/>
      <c r="D42" s="27"/>
      <c r="E42" s="27"/>
      <c r="F42" s="27"/>
      <c r="G42" s="27"/>
      <c r="H42" s="27"/>
      <c r="I42" s="28"/>
      <c r="J42" s="27"/>
      <c r="K42" s="27"/>
      <c r="L42" s="27"/>
      <c r="M42" s="27"/>
      <c r="N42" s="28"/>
      <c r="O42" s="27"/>
      <c r="P42" s="4"/>
    </row>
    <row r="43" spans="1:16" x14ac:dyDescent="0.25">
      <c r="A43" s="27"/>
      <c r="B43" s="28"/>
      <c r="C43" s="27"/>
      <c r="D43" s="27"/>
      <c r="E43" s="27"/>
      <c r="F43" s="27"/>
      <c r="G43" s="27"/>
      <c r="H43" s="27"/>
      <c r="I43" s="28"/>
      <c r="J43" s="27"/>
      <c r="K43" s="27"/>
      <c r="L43" s="27"/>
      <c r="M43" s="27"/>
      <c r="N43" s="28"/>
      <c r="O43" s="27"/>
      <c r="P43" s="4"/>
    </row>
    <row r="44" spans="1:16" x14ac:dyDescent="0.25">
      <c r="A44" s="27"/>
      <c r="B44" s="28"/>
      <c r="C44" s="27"/>
      <c r="D44" s="27"/>
      <c r="E44" s="27"/>
      <c r="F44" s="27"/>
      <c r="G44" s="27"/>
      <c r="H44" s="27"/>
      <c r="I44" s="28"/>
      <c r="J44" s="27"/>
      <c r="K44" s="27"/>
      <c r="L44" s="27"/>
      <c r="M44" s="27"/>
      <c r="N44" s="28"/>
      <c r="O44" s="27"/>
      <c r="P44" s="4"/>
    </row>
    <row r="45" spans="1:16" x14ac:dyDescent="0.25">
      <c r="A45" s="27"/>
      <c r="B45" s="28"/>
      <c r="C45" s="27"/>
      <c r="D45" s="27"/>
      <c r="E45" s="27"/>
      <c r="F45" s="27"/>
      <c r="G45" s="27"/>
      <c r="H45" s="27"/>
      <c r="I45" s="28"/>
      <c r="J45" s="27"/>
      <c r="K45" s="27"/>
      <c r="L45" s="27"/>
      <c r="M45" s="27"/>
      <c r="N45" s="28"/>
      <c r="O45" s="27"/>
      <c r="P45" s="4"/>
    </row>
    <row r="46" spans="1:16" x14ac:dyDescent="0.25">
      <c r="A46" s="27"/>
      <c r="B46" s="28"/>
      <c r="C46" s="27"/>
      <c r="D46" s="27"/>
      <c r="E46" s="27"/>
      <c r="F46" s="27"/>
      <c r="G46" s="27"/>
      <c r="H46" s="27"/>
      <c r="I46" s="28"/>
      <c r="J46" s="27"/>
      <c r="K46" s="27"/>
      <c r="L46" s="27"/>
      <c r="M46" s="27"/>
      <c r="N46" s="28"/>
      <c r="O46" s="27"/>
      <c r="P46" s="4"/>
    </row>
    <row r="47" spans="1:16" x14ac:dyDescent="0.25">
      <c r="A47" s="27"/>
      <c r="B47" s="28"/>
      <c r="C47" s="27"/>
      <c r="D47" s="27"/>
      <c r="E47" s="27"/>
      <c r="F47" s="27"/>
      <c r="G47" s="27"/>
      <c r="H47" s="27"/>
      <c r="I47" s="28"/>
      <c r="J47" s="27"/>
      <c r="K47" s="27"/>
      <c r="L47" s="27"/>
      <c r="M47" s="27"/>
      <c r="N47" s="28"/>
      <c r="O47" s="27"/>
      <c r="P47" s="4"/>
    </row>
    <row r="48" spans="1:16" x14ac:dyDescent="0.25">
      <c r="A48" s="27"/>
      <c r="B48" s="28"/>
      <c r="C48" s="27"/>
      <c r="D48" s="27"/>
      <c r="E48" s="27"/>
      <c r="F48" s="27"/>
      <c r="G48" s="27"/>
      <c r="H48" s="27"/>
      <c r="I48" s="28"/>
      <c r="J48" s="27"/>
      <c r="K48" s="27"/>
      <c r="L48" s="27"/>
      <c r="M48" s="27"/>
      <c r="N48" s="28"/>
      <c r="O48" s="27"/>
      <c r="P48" s="4"/>
    </row>
    <row r="49" spans="1:16" x14ac:dyDescent="0.25">
      <c r="A49" s="27"/>
      <c r="B49" s="28"/>
      <c r="C49" s="27"/>
      <c r="D49" s="27"/>
      <c r="E49" s="27"/>
      <c r="F49" s="27"/>
      <c r="G49" s="27"/>
      <c r="H49" s="27"/>
      <c r="I49" s="28"/>
      <c r="J49" s="27"/>
      <c r="K49" s="27"/>
      <c r="L49" s="27"/>
      <c r="M49" s="27"/>
      <c r="N49" s="28"/>
      <c r="O49" s="27"/>
      <c r="P49" s="4"/>
    </row>
    <row r="50" spans="1:16" x14ac:dyDescent="0.25">
      <c r="A50" s="27"/>
      <c r="B50" s="28"/>
      <c r="C50" s="27"/>
      <c r="D50" s="27"/>
      <c r="E50" s="27"/>
      <c r="F50" s="27"/>
      <c r="G50" s="27"/>
      <c r="H50" s="27"/>
      <c r="I50" s="28"/>
      <c r="J50" s="27"/>
      <c r="K50" s="27"/>
      <c r="L50" s="27"/>
      <c r="M50" s="27"/>
      <c r="N50" s="28"/>
      <c r="O50" s="27"/>
      <c r="P50" s="4"/>
    </row>
    <row r="51" spans="1:16" x14ac:dyDescent="0.25">
      <c r="A51" s="27"/>
      <c r="B51" s="28"/>
      <c r="C51" s="27"/>
      <c r="D51" s="27"/>
      <c r="E51" s="27"/>
      <c r="F51" s="27"/>
      <c r="G51" s="27"/>
      <c r="H51" s="27"/>
      <c r="I51" s="28"/>
      <c r="J51" s="27"/>
      <c r="K51" s="27"/>
      <c r="L51" s="27"/>
      <c r="M51" s="27"/>
      <c r="N51" s="28"/>
      <c r="O51" s="27"/>
      <c r="P51" s="4"/>
    </row>
    <row r="52" spans="1:16" x14ac:dyDescent="0.25">
      <c r="A52" s="27"/>
      <c r="B52" s="28"/>
      <c r="C52" s="27"/>
      <c r="D52" s="27"/>
      <c r="E52" s="27"/>
      <c r="F52" s="27"/>
      <c r="G52" s="27"/>
      <c r="H52" s="27"/>
      <c r="I52" s="28"/>
      <c r="J52" s="27"/>
      <c r="K52" s="27"/>
      <c r="L52" s="27"/>
      <c r="M52" s="27"/>
      <c r="N52" s="28"/>
      <c r="O52" s="27"/>
      <c r="P52" s="4"/>
    </row>
    <row r="53" spans="1:16" x14ac:dyDescent="0.25">
      <c r="A53" s="27"/>
      <c r="B53" s="28"/>
      <c r="C53" s="27"/>
      <c r="D53" s="27"/>
      <c r="E53" s="27"/>
      <c r="F53" s="27"/>
      <c r="G53" s="27"/>
      <c r="H53" s="27"/>
      <c r="I53" s="28"/>
      <c r="J53" s="27"/>
      <c r="K53" s="27"/>
      <c r="L53" s="27"/>
      <c r="M53" s="27"/>
      <c r="N53" s="28"/>
      <c r="O53" s="27"/>
      <c r="P53" s="4"/>
    </row>
    <row r="54" spans="1:16" x14ac:dyDescent="0.25">
      <c r="A54" s="27"/>
      <c r="B54" s="28"/>
      <c r="C54" s="27"/>
      <c r="D54" s="27"/>
      <c r="E54" s="27"/>
      <c r="F54" s="27"/>
      <c r="G54" s="27"/>
      <c r="H54" s="27"/>
      <c r="I54" s="28"/>
      <c r="J54" s="27"/>
      <c r="K54" s="27"/>
      <c r="L54" s="27"/>
      <c r="M54" s="27"/>
      <c r="N54" s="28"/>
      <c r="O54" s="27"/>
      <c r="P54" s="4"/>
    </row>
    <row r="55" spans="1:16" x14ac:dyDescent="0.25">
      <c r="A55" s="27"/>
      <c r="B55" s="28"/>
      <c r="C55" s="27"/>
      <c r="D55" s="27"/>
      <c r="E55" s="27"/>
      <c r="F55" s="27"/>
      <c r="G55" s="27"/>
      <c r="H55" s="27"/>
      <c r="I55" s="28"/>
      <c r="J55" s="27"/>
      <c r="K55" s="27"/>
      <c r="L55" s="27"/>
      <c r="M55" s="27"/>
      <c r="N55" s="28"/>
      <c r="O55" s="27"/>
      <c r="P55" s="4"/>
    </row>
    <row r="56" spans="1:16" x14ac:dyDescent="0.25">
      <c r="A56" s="27"/>
      <c r="B56" s="28"/>
      <c r="C56" s="27"/>
      <c r="D56" s="27"/>
      <c r="E56" s="27"/>
      <c r="F56" s="27"/>
      <c r="G56" s="27"/>
      <c r="H56" s="27"/>
      <c r="I56" s="28"/>
      <c r="J56" s="27"/>
      <c r="K56" s="27"/>
      <c r="L56" s="27"/>
      <c r="M56" s="27"/>
      <c r="N56" s="28"/>
      <c r="O56" s="27"/>
      <c r="P56" s="4"/>
    </row>
    <row r="57" spans="1:16" x14ac:dyDescent="0.25">
      <c r="A57" s="27"/>
      <c r="B57" s="28"/>
      <c r="C57" s="27"/>
      <c r="D57" s="27"/>
      <c r="E57" s="27"/>
      <c r="F57" s="27"/>
      <c r="G57" s="27"/>
      <c r="H57" s="27"/>
      <c r="I57" s="28"/>
      <c r="J57" s="27"/>
      <c r="K57" s="27"/>
      <c r="L57" s="27"/>
      <c r="M57" s="27"/>
      <c r="N57" s="28"/>
      <c r="O57" s="27"/>
      <c r="P57" s="4"/>
    </row>
    <row r="58" spans="1:16" x14ac:dyDescent="0.25">
      <c r="A58" s="27"/>
      <c r="B58" s="28"/>
      <c r="C58" s="27"/>
      <c r="D58" s="27"/>
      <c r="E58" s="27"/>
      <c r="F58" s="27"/>
      <c r="G58" s="27"/>
      <c r="H58" s="27"/>
      <c r="I58" s="28"/>
      <c r="J58" s="27"/>
      <c r="K58" s="27"/>
      <c r="L58" s="27"/>
      <c r="M58" s="27"/>
      <c r="N58" s="28"/>
      <c r="O58" s="27"/>
      <c r="P58" s="4"/>
    </row>
    <row r="59" spans="1:16" x14ac:dyDescent="0.25">
      <c r="A59" s="27"/>
      <c r="B59" s="28"/>
      <c r="C59" s="27"/>
      <c r="D59" s="27"/>
      <c r="E59" s="27"/>
      <c r="F59" s="27"/>
      <c r="G59" s="27"/>
      <c r="H59" s="27"/>
      <c r="I59" s="28"/>
      <c r="J59" s="27"/>
      <c r="K59" s="27"/>
      <c r="L59" s="27"/>
      <c r="M59" s="27"/>
      <c r="N59" s="28"/>
      <c r="O59" s="27"/>
      <c r="P59" s="4"/>
    </row>
    <row r="60" spans="1:16" x14ac:dyDescent="0.25">
      <c r="A60" s="27"/>
      <c r="B60" s="28"/>
      <c r="C60" s="27"/>
      <c r="D60" s="27"/>
      <c r="E60" s="27"/>
      <c r="F60" s="27"/>
      <c r="G60" s="27"/>
      <c r="H60" s="27"/>
      <c r="I60" s="28"/>
      <c r="J60" s="27"/>
      <c r="K60" s="27"/>
      <c r="L60" s="27"/>
      <c r="M60" s="27"/>
      <c r="N60" s="28"/>
      <c r="O60" s="27"/>
      <c r="P60" s="4"/>
    </row>
    <row r="61" spans="1:16" x14ac:dyDescent="0.25">
      <c r="A61" s="27"/>
      <c r="B61" s="28"/>
      <c r="C61" s="27"/>
      <c r="D61" s="27"/>
      <c r="E61" s="27"/>
      <c r="F61" s="27"/>
      <c r="G61" s="27"/>
      <c r="H61" s="27"/>
      <c r="I61" s="28"/>
      <c r="J61" s="27"/>
      <c r="K61" s="27"/>
      <c r="L61" s="27"/>
      <c r="M61" s="27"/>
      <c r="N61" s="28"/>
      <c r="O61" s="27"/>
      <c r="P61" s="4"/>
    </row>
    <row r="62" spans="1:16" x14ac:dyDescent="0.25">
      <c r="A62" s="27"/>
      <c r="B62" s="28"/>
      <c r="C62" s="27"/>
      <c r="D62" s="27"/>
      <c r="E62" s="27"/>
      <c r="F62" s="27"/>
      <c r="G62" s="27"/>
      <c r="H62" s="27"/>
      <c r="I62" s="28"/>
      <c r="J62" s="27"/>
      <c r="K62" s="27"/>
      <c r="L62" s="27"/>
      <c r="M62" s="27"/>
      <c r="N62" s="28"/>
      <c r="O62" s="27"/>
      <c r="P62" s="4"/>
    </row>
    <row r="63" spans="1:16" x14ac:dyDescent="0.25">
      <c r="A63" s="27"/>
      <c r="B63" s="28"/>
      <c r="C63" s="27"/>
      <c r="D63" s="27"/>
      <c r="E63" s="27"/>
      <c r="F63" s="27"/>
      <c r="G63" s="27"/>
      <c r="H63" s="27"/>
      <c r="I63" s="28"/>
      <c r="J63" s="27"/>
      <c r="K63" s="27"/>
      <c r="L63" s="27"/>
      <c r="M63" s="27"/>
      <c r="N63" s="28"/>
      <c r="O63" s="27"/>
      <c r="P63" s="4"/>
    </row>
    <row r="64" spans="1:16" x14ac:dyDescent="0.25">
      <c r="A64" s="27"/>
      <c r="B64" s="28"/>
      <c r="C64" s="27"/>
      <c r="D64" s="27"/>
      <c r="E64" s="27"/>
      <c r="F64" s="27"/>
      <c r="G64" s="27"/>
      <c r="H64" s="27"/>
      <c r="I64" s="28"/>
      <c r="J64" s="27"/>
      <c r="K64" s="27"/>
      <c r="L64" s="27"/>
      <c r="M64" s="27"/>
      <c r="N64" s="28"/>
      <c r="O64" s="27"/>
      <c r="P64" s="4"/>
    </row>
    <row r="65" spans="1:16" x14ac:dyDescent="0.25">
      <c r="A65" s="27"/>
      <c r="B65" s="28"/>
      <c r="C65" s="27"/>
      <c r="D65" s="27"/>
      <c r="E65" s="27"/>
      <c r="F65" s="27"/>
      <c r="G65" s="27"/>
      <c r="H65" s="27"/>
      <c r="I65" s="28"/>
      <c r="J65" s="27"/>
      <c r="K65" s="27"/>
      <c r="L65" s="27"/>
      <c r="M65" s="27"/>
      <c r="N65" s="28"/>
      <c r="O65" s="27"/>
      <c r="P65" s="4"/>
    </row>
    <row r="66" spans="1:16" x14ac:dyDescent="0.25">
      <c r="A66" s="27"/>
      <c r="B66" s="28"/>
      <c r="C66" s="27"/>
      <c r="D66" s="27"/>
      <c r="E66" s="27"/>
      <c r="F66" s="27"/>
      <c r="G66" s="27"/>
      <c r="H66" s="27"/>
      <c r="I66" s="28"/>
      <c r="J66" s="27"/>
      <c r="K66" s="27"/>
      <c r="L66" s="27"/>
      <c r="M66" s="27"/>
      <c r="N66" s="28"/>
      <c r="O66" s="27"/>
      <c r="P66" s="4"/>
    </row>
    <row r="67" spans="1:16" x14ac:dyDescent="0.25">
      <c r="A67" s="27"/>
      <c r="B67" s="28"/>
      <c r="C67" s="27"/>
      <c r="D67" s="27"/>
      <c r="E67" s="27"/>
      <c r="F67" s="27"/>
      <c r="G67" s="27"/>
      <c r="H67" s="27"/>
      <c r="I67" s="28"/>
      <c r="J67" s="27"/>
      <c r="K67" s="27"/>
      <c r="L67" s="27"/>
      <c r="M67" s="27"/>
      <c r="N67" s="28"/>
      <c r="O67" s="27"/>
      <c r="P67" s="4"/>
    </row>
    <row r="68" spans="1:16" x14ac:dyDescent="0.25">
      <c r="A68" s="27"/>
      <c r="B68" s="28"/>
      <c r="C68" s="27"/>
      <c r="D68" s="27"/>
      <c r="E68" s="27"/>
      <c r="F68" s="27"/>
      <c r="G68" s="27"/>
      <c r="H68" s="27"/>
      <c r="I68" s="28"/>
      <c r="J68" s="27"/>
      <c r="K68" s="27"/>
      <c r="L68" s="27"/>
      <c r="M68" s="27"/>
      <c r="N68" s="28"/>
      <c r="O68" s="27"/>
      <c r="P68" s="4"/>
    </row>
    <row r="69" spans="1:16" x14ac:dyDescent="0.25">
      <c r="A69" s="27"/>
      <c r="B69" s="28"/>
      <c r="C69" s="27"/>
      <c r="D69" s="27"/>
      <c r="E69" s="27"/>
      <c r="F69" s="27"/>
      <c r="G69" s="27"/>
      <c r="H69" s="27"/>
      <c r="I69" s="28"/>
      <c r="J69" s="27"/>
      <c r="K69" s="27"/>
      <c r="L69" s="27"/>
      <c r="M69" s="27"/>
      <c r="N69" s="28"/>
      <c r="O69" s="27"/>
      <c r="P69" s="4"/>
    </row>
    <row r="70" spans="1:16" x14ac:dyDescent="0.25">
      <c r="A70" s="27"/>
      <c r="B70" s="28"/>
      <c r="C70" s="27"/>
      <c r="D70" s="27"/>
      <c r="E70" s="27"/>
      <c r="F70" s="27"/>
      <c r="G70" s="27"/>
      <c r="H70" s="27"/>
      <c r="I70" s="28"/>
      <c r="J70" s="27"/>
      <c r="K70" s="27"/>
      <c r="L70" s="27"/>
      <c r="M70" s="27"/>
      <c r="N70" s="28"/>
      <c r="O70" s="27"/>
      <c r="P70" s="4"/>
    </row>
    <row r="71" spans="1:16" x14ac:dyDescent="0.25">
      <c r="A71" s="27"/>
      <c r="B71" s="28"/>
      <c r="C71" s="27"/>
      <c r="D71" s="27"/>
      <c r="E71" s="27"/>
      <c r="F71" s="27"/>
      <c r="G71" s="27"/>
      <c r="H71" s="27"/>
      <c r="I71" s="28"/>
      <c r="J71" s="27"/>
      <c r="K71" s="27"/>
      <c r="L71" s="27"/>
      <c r="M71" s="27"/>
      <c r="N71" s="28"/>
      <c r="O71" s="27"/>
      <c r="P71" s="4"/>
    </row>
    <row r="72" spans="1:16" x14ac:dyDescent="0.25">
      <c r="A72" s="27"/>
      <c r="B72" s="28"/>
      <c r="C72" s="27"/>
      <c r="D72" s="27"/>
      <c r="E72" s="27"/>
      <c r="F72" s="27"/>
      <c r="G72" s="27"/>
      <c r="H72" s="27"/>
      <c r="I72" s="28"/>
      <c r="J72" s="27"/>
      <c r="K72" s="27"/>
      <c r="L72" s="27"/>
      <c r="M72" s="27"/>
      <c r="N72" s="28"/>
      <c r="O72" s="27"/>
      <c r="P72" s="4"/>
    </row>
    <row r="73" spans="1:16" x14ac:dyDescent="0.25">
      <c r="A73" s="27"/>
      <c r="B73" s="28"/>
      <c r="C73" s="27"/>
      <c r="D73" s="27"/>
      <c r="E73" s="27"/>
      <c r="F73" s="27"/>
      <c r="G73" s="27"/>
      <c r="H73" s="27"/>
      <c r="I73" s="28"/>
      <c r="J73" s="27"/>
      <c r="K73" s="27"/>
      <c r="L73" s="27"/>
      <c r="M73" s="27"/>
      <c r="N73" s="28"/>
      <c r="O73" s="27"/>
      <c r="P73" s="4"/>
    </row>
    <row r="74" spans="1:16" x14ac:dyDescent="0.25">
      <c r="A74" s="27"/>
      <c r="B74" s="28"/>
      <c r="C74" s="27"/>
      <c r="D74" s="27"/>
      <c r="E74" s="27"/>
      <c r="F74" s="27"/>
      <c r="G74" s="27"/>
      <c r="H74" s="27"/>
      <c r="I74" s="28"/>
      <c r="J74" s="27"/>
      <c r="K74" s="27"/>
      <c r="L74" s="27"/>
      <c r="M74" s="27"/>
      <c r="N74" s="28"/>
      <c r="O74" s="27"/>
      <c r="P74" s="4"/>
    </row>
    <row r="75" spans="1:16" x14ac:dyDescent="0.25">
      <c r="A75" s="27"/>
      <c r="B75" s="28"/>
      <c r="C75" s="27"/>
      <c r="D75" s="27"/>
      <c r="E75" s="27"/>
      <c r="F75" s="27"/>
      <c r="G75" s="27"/>
      <c r="H75" s="27"/>
      <c r="I75" s="28"/>
      <c r="J75" s="27"/>
      <c r="K75" s="27"/>
      <c r="L75" s="27"/>
      <c r="M75" s="27"/>
      <c r="N75" s="28"/>
      <c r="O75" s="27"/>
      <c r="P75" s="4"/>
    </row>
    <row r="76" spans="1:16" x14ac:dyDescent="0.25">
      <c r="A76" s="27"/>
      <c r="B76" s="28"/>
      <c r="C76" s="27"/>
      <c r="D76" s="27"/>
      <c r="E76" s="27"/>
      <c r="F76" s="27"/>
      <c r="G76" s="27"/>
      <c r="H76" s="27"/>
      <c r="I76" s="28"/>
      <c r="J76" s="27"/>
      <c r="K76" s="27"/>
      <c r="L76" s="27"/>
      <c r="M76" s="27"/>
      <c r="N76" s="28"/>
      <c r="O76" s="27"/>
      <c r="P76" s="4"/>
    </row>
    <row r="77" spans="1:16" x14ac:dyDescent="0.25">
      <c r="A77" s="27"/>
      <c r="B77" s="28"/>
      <c r="C77" s="27"/>
      <c r="D77" s="27"/>
      <c r="E77" s="27"/>
      <c r="F77" s="27"/>
      <c r="G77" s="27"/>
      <c r="H77" s="27"/>
      <c r="I77" s="28"/>
      <c r="J77" s="27"/>
      <c r="K77" s="27"/>
      <c r="L77" s="27"/>
      <c r="M77" s="27"/>
      <c r="N77" s="28"/>
      <c r="O77" s="27"/>
      <c r="P77" s="4"/>
    </row>
    <row r="78" spans="1:16" x14ac:dyDescent="0.25">
      <c r="A78" s="27"/>
      <c r="B78" s="28"/>
      <c r="C78" s="27"/>
      <c r="D78" s="27"/>
      <c r="E78" s="27"/>
      <c r="F78" s="27"/>
      <c r="G78" s="27"/>
      <c r="H78" s="27"/>
      <c r="I78" s="28"/>
      <c r="J78" s="27"/>
      <c r="K78" s="27"/>
      <c r="L78" s="27"/>
      <c r="M78" s="27"/>
      <c r="N78" s="28"/>
      <c r="O78" s="27"/>
      <c r="P78" s="4"/>
    </row>
    <row r="79" spans="1:16" x14ac:dyDescent="0.25">
      <c r="A79" s="27"/>
      <c r="B79" s="28"/>
      <c r="C79" s="27"/>
      <c r="D79" s="27"/>
      <c r="E79" s="27"/>
      <c r="F79" s="27"/>
      <c r="G79" s="27"/>
      <c r="H79" s="27"/>
      <c r="I79" s="28"/>
      <c r="J79" s="27"/>
      <c r="K79" s="27"/>
      <c r="L79" s="27"/>
      <c r="M79" s="27"/>
      <c r="N79" s="28"/>
      <c r="O79" s="27"/>
      <c r="P79" s="4"/>
    </row>
    <row r="80" spans="1:16" x14ac:dyDescent="0.25">
      <c r="A80" s="27"/>
      <c r="B80" s="28"/>
      <c r="C80" s="27"/>
      <c r="D80" s="27"/>
      <c r="E80" s="27"/>
      <c r="F80" s="27"/>
      <c r="G80" s="27"/>
      <c r="H80" s="27"/>
      <c r="I80" s="28"/>
      <c r="J80" s="27"/>
      <c r="K80" s="27"/>
      <c r="L80" s="27"/>
      <c r="M80" s="27"/>
      <c r="N80" s="28"/>
      <c r="O80" s="27"/>
      <c r="P80" s="4"/>
    </row>
    <row r="81" spans="1:16" x14ac:dyDescent="0.25">
      <c r="A81" s="27"/>
      <c r="B81" s="28"/>
      <c r="C81" s="27"/>
      <c r="D81" s="27"/>
      <c r="E81" s="27"/>
      <c r="F81" s="27"/>
      <c r="G81" s="27"/>
      <c r="H81" s="27"/>
      <c r="I81" s="28"/>
      <c r="J81" s="27"/>
      <c r="K81" s="27"/>
      <c r="L81" s="27"/>
      <c r="M81" s="27"/>
      <c r="N81" s="28"/>
      <c r="O81" s="27"/>
      <c r="P81" s="4"/>
    </row>
    <row r="82" spans="1:16" x14ac:dyDescent="0.25">
      <c r="A82" s="27"/>
      <c r="B82" s="28"/>
      <c r="C82" s="27"/>
      <c r="D82" s="27"/>
      <c r="E82" s="27"/>
      <c r="F82" s="27"/>
      <c r="G82" s="27"/>
      <c r="H82" s="27"/>
      <c r="I82" s="28"/>
      <c r="J82" s="27"/>
      <c r="K82" s="27"/>
      <c r="L82" s="27"/>
      <c r="M82" s="27"/>
      <c r="N82" s="28"/>
      <c r="O82" s="27"/>
      <c r="P82" s="4"/>
    </row>
    <row r="83" spans="1:16" x14ac:dyDescent="0.25">
      <c r="A83" s="27"/>
      <c r="B83" s="28"/>
      <c r="C83" s="27"/>
      <c r="D83" s="27"/>
      <c r="E83" s="27"/>
      <c r="F83" s="27"/>
      <c r="G83" s="27"/>
      <c r="H83" s="27"/>
      <c r="I83" s="28"/>
      <c r="J83" s="27"/>
      <c r="K83" s="27"/>
      <c r="L83" s="27"/>
      <c r="M83" s="27"/>
      <c r="N83" s="28"/>
      <c r="O83" s="27"/>
      <c r="P83" s="4"/>
    </row>
    <row r="84" spans="1:16" x14ac:dyDescent="0.25">
      <c r="A84" s="27"/>
      <c r="B84" s="28"/>
      <c r="C84" s="27"/>
      <c r="D84" s="27"/>
      <c r="E84" s="27"/>
      <c r="F84" s="27"/>
      <c r="G84" s="27"/>
      <c r="H84" s="27"/>
      <c r="I84" s="28"/>
      <c r="J84" s="27"/>
      <c r="K84" s="27"/>
      <c r="L84" s="27"/>
      <c r="M84" s="27"/>
      <c r="N84" s="28"/>
      <c r="O84" s="27"/>
      <c r="P84" s="4"/>
    </row>
    <row r="85" spans="1:16" x14ac:dyDescent="0.25">
      <c r="A85" s="27"/>
      <c r="B85" s="28"/>
      <c r="C85" s="27"/>
      <c r="D85" s="27"/>
      <c r="E85" s="27"/>
      <c r="F85" s="27"/>
      <c r="G85" s="27"/>
      <c r="H85" s="27"/>
      <c r="I85" s="28"/>
      <c r="J85" s="27"/>
      <c r="K85" s="27"/>
      <c r="L85" s="27"/>
      <c r="M85" s="27"/>
      <c r="N85" s="28"/>
      <c r="O85" s="27"/>
      <c r="P85" s="4"/>
    </row>
    <row r="86" spans="1:16" x14ac:dyDescent="0.25">
      <c r="A86" s="27"/>
      <c r="B86" s="28"/>
      <c r="C86" s="27"/>
      <c r="D86" s="27"/>
      <c r="E86" s="27"/>
      <c r="F86" s="27"/>
      <c r="G86" s="27"/>
      <c r="H86" s="27"/>
      <c r="I86" s="28"/>
      <c r="J86" s="27"/>
      <c r="K86" s="27"/>
      <c r="L86" s="27"/>
      <c r="M86" s="27"/>
      <c r="N86" s="28"/>
      <c r="O86" s="27"/>
      <c r="P86" s="4"/>
    </row>
    <row r="87" spans="1:16" x14ac:dyDescent="0.25">
      <c r="A87" s="27"/>
      <c r="B87" s="28"/>
      <c r="C87" s="27"/>
      <c r="D87" s="27"/>
      <c r="E87" s="27"/>
      <c r="F87" s="27"/>
      <c r="G87" s="27"/>
      <c r="H87" s="27"/>
      <c r="I87" s="28"/>
      <c r="J87" s="27"/>
      <c r="K87" s="27"/>
      <c r="L87" s="27"/>
      <c r="M87" s="27"/>
      <c r="N87" s="28"/>
      <c r="O87" s="27"/>
      <c r="P87" s="4"/>
    </row>
    <row r="88" spans="1:16" x14ac:dyDescent="0.25">
      <c r="A88" s="27"/>
      <c r="B88" s="28"/>
      <c r="C88" s="27"/>
      <c r="D88" s="27"/>
      <c r="E88" s="27"/>
      <c r="F88" s="27"/>
      <c r="G88" s="27"/>
      <c r="H88" s="27"/>
      <c r="I88" s="28"/>
      <c r="J88" s="27"/>
      <c r="K88" s="27"/>
      <c r="L88" s="27"/>
      <c r="M88" s="27"/>
      <c r="N88" s="28"/>
      <c r="O88" s="27"/>
      <c r="P88" s="4"/>
    </row>
    <row r="89" spans="1:16" x14ac:dyDescent="0.25">
      <c r="A89" s="27"/>
      <c r="B89" s="28"/>
      <c r="C89" s="27"/>
      <c r="D89" s="27"/>
      <c r="E89" s="27"/>
      <c r="F89" s="27"/>
      <c r="G89" s="27"/>
      <c r="H89" s="27"/>
      <c r="I89" s="28"/>
      <c r="J89" s="27"/>
      <c r="K89" s="27"/>
      <c r="L89" s="27"/>
      <c r="M89" s="27"/>
      <c r="N89" s="28"/>
      <c r="O89" s="27"/>
      <c r="P89" s="4"/>
    </row>
    <row r="90" spans="1:16" x14ac:dyDescent="0.25">
      <c r="A90" s="27"/>
      <c r="B90" s="28"/>
      <c r="C90" s="27"/>
      <c r="D90" s="27"/>
      <c r="E90" s="27"/>
      <c r="F90" s="27"/>
      <c r="G90" s="27"/>
      <c r="H90" s="27"/>
      <c r="I90" s="28"/>
      <c r="J90" s="27"/>
      <c r="K90" s="27"/>
      <c r="L90" s="27"/>
      <c r="M90" s="27"/>
      <c r="N90" s="28"/>
      <c r="O90" s="27"/>
      <c r="P90" s="4"/>
    </row>
    <row r="91" spans="1:16" x14ac:dyDescent="0.25">
      <c r="A91" s="27"/>
      <c r="B91" s="28"/>
      <c r="C91" s="27"/>
      <c r="D91" s="27"/>
      <c r="E91" s="27"/>
      <c r="F91" s="27"/>
      <c r="G91" s="27"/>
      <c r="H91" s="27"/>
      <c r="I91" s="28"/>
      <c r="J91" s="27"/>
      <c r="K91" s="27"/>
      <c r="L91" s="27"/>
      <c r="M91" s="27"/>
      <c r="N91" s="28"/>
      <c r="O91" s="27"/>
      <c r="P91" s="4"/>
    </row>
    <row r="92" spans="1:16" x14ac:dyDescent="0.25">
      <c r="A92" s="27"/>
      <c r="B92" s="28"/>
      <c r="C92" s="27"/>
      <c r="D92" s="27"/>
      <c r="E92" s="27"/>
      <c r="F92" s="27"/>
      <c r="G92" s="27"/>
      <c r="H92" s="27"/>
      <c r="I92" s="28"/>
      <c r="J92" s="27"/>
      <c r="K92" s="27"/>
      <c r="L92" s="27"/>
      <c r="M92" s="27"/>
      <c r="N92" s="28"/>
      <c r="O92" s="27"/>
      <c r="P92" s="4"/>
    </row>
    <row r="93" spans="1:16" x14ac:dyDescent="0.25">
      <c r="A93" s="27"/>
      <c r="B93" s="28"/>
      <c r="C93" s="27"/>
      <c r="D93" s="27"/>
      <c r="E93" s="27"/>
      <c r="F93" s="27"/>
      <c r="G93" s="27"/>
      <c r="H93" s="27"/>
      <c r="I93" s="28"/>
      <c r="J93" s="27"/>
      <c r="K93" s="27"/>
      <c r="L93" s="27"/>
      <c r="M93" s="27"/>
      <c r="N93" s="28"/>
      <c r="O93" s="27"/>
      <c r="P93" s="4"/>
    </row>
    <row r="94" spans="1:16" x14ac:dyDescent="0.25">
      <c r="A94" s="27"/>
      <c r="B94" s="28"/>
      <c r="C94" s="27"/>
      <c r="D94" s="27"/>
      <c r="E94" s="27"/>
      <c r="F94" s="27"/>
      <c r="G94" s="27"/>
      <c r="H94" s="27"/>
      <c r="I94" s="28"/>
      <c r="J94" s="27"/>
      <c r="K94" s="27"/>
      <c r="L94" s="27"/>
      <c r="M94" s="27"/>
      <c r="N94" s="28"/>
      <c r="O94" s="27"/>
      <c r="P94" s="4"/>
    </row>
    <row r="95" spans="1:16" x14ac:dyDescent="0.25">
      <c r="A95" s="27"/>
      <c r="B95" s="28"/>
      <c r="C95" s="27"/>
      <c r="D95" s="27"/>
      <c r="E95" s="27"/>
      <c r="F95" s="27"/>
      <c r="G95" s="27"/>
      <c r="H95" s="27"/>
      <c r="I95" s="28"/>
      <c r="J95" s="27"/>
      <c r="K95" s="27"/>
      <c r="L95" s="27"/>
      <c r="M95" s="27"/>
      <c r="N95" s="28"/>
      <c r="O95" s="27"/>
      <c r="P95" s="4"/>
    </row>
    <row r="96" spans="1:16" x14ac:dyDescent="0.25">
      <c r="A96" s="27"/>
      <c r="B96" s="28"/>
      <c r="C96" s="27"/>
      <c r="D96" s="27"/>
      <c r="E96" s="27"/>
      <c r="F96" s="27"/>
      <c r="G96" s="27"/>
      <c r="H96" s="27"/>
      <c r="I96" s="28"/>
      <c r="J96" s="27"/>
      <c r="K96" s="27"/>
      <c r="L96" s="27"/>
      <c r="M96" s="27"/>
      <c r="N96" s="28"/>
      <c r="O96" s="27"/>
      <c r="P96" s="4"/>
    </row>
    <row r="97" spans="1:16" x14ac:dyDescent="0.25">
      <c r="A97" s="27"/>
      <c r="B97" s="28"/>
      <c r="C97" s="27"/>
      <c r="D97" s="27"/>
      <c r="E97" s="27"/>
      <c r="F97" s="27"/>
      <c r="G97" s="27"/>
      <c r="H97" s="27"/>
      <c r="I97" s="28"/>
      <c r="J97" s="27"/>
      <c r="K97" s="27"/>
      <c r="L97" s="27"/>
      <c r="M97" s="27"/>
      <c r="N97" s="28"/>
      <c r="O97" s="27"/>
      <c r="P97" s="4"/>
    </row>
    <row r="98" spans="1:16" x14ac:dyDescent="0.25">
      <c r="A98" s="27"/>
      <c r="B98" s="28"/>
      <c r="C98" s="27"/>
      <c r="D98" s="27"/>
      <c r="E98" s="27"/>
      <c r="F98" s="27"/>
      <c r="G98" s="27"/>
      <c r="H98" s="27"/>
      <c r="I98" s="28"/>
      <c r="J98" s="27"/>
      <c r="K98" s="27"/>
      <c r="L98" s="27"/>
      <c r="M98" s="27"/>
      <c r="N98" s="28"/>
      <c r="O98" s="27"/>
      <c r="P98" s="4"/>
    </row>
    <row r="99" spans="1:16" x14ac:dyDescent="0.25">
      <c r="A99" s="27"/>
      <c r="B99" s="28"/>
      <c r="C99" s="27"/>
      <c r="D99" s="27"/>
      <c r="E99" s="27"/>
      <c r="F99" s="27"/>
      <c r="G99" s="27"/>
      <c r="H99" s="27"/>
      <c r="I99" s="28"/>
      <c r="J99" s="27"/>
      <c r="K99" s="27"/>
      <c r="L99" s="27"/>
      <c r="M99" s="27"/>
      <c r="N99" s="28"/>
      <c r="O99" s="27"/>
      <c r="P99" s="4"/>
    </row>
    <row r="100" spans="1:16" x14ac:dyDescent="0.25">
      <c r="A100" s="27"/>
      <c r="B100" s="28"/>
      <c r="C100" s="27"/>
      <c r="D100" s="27"/>
      <c r="E100" s="27"/>
      <c r="F100" s="27"/>
      <c r="G100" s="27"/>
      <c r="H100" s="27"/>
      <c r="I100" s="28"/>
      <c r="J100" s="27"/>
      <c r="K100" s="27"/>
      <c r="L100" s="27"/>
      <c r="M100" s="27"/>
      <c r="N100" s="28"/>
      <c r="O100" s="27"/>
      <c r="P100" s="4"/>
    </row>
    <row r="101" spans="1:16" x14ac:dyDescent="0.25">
      <c r="A101" s="27"/>
      <c r="B101" s="28"/>
      <c r="C101" s="27"/>
      <c r="D101" s="27"/>
      <c r="E101" s="27"/>
      <c r="F101" s="27"/>
      <c r="G101" s="27"/>
      <c r="H101" s="27"/>
      <c r="I101" s="28"/>
      <c r="J101" s="27"/>
      <c r="K101" s="27"/>
      <c r="L101" s="27"/>
      <c r="M101" s="27"/>
      <c r="N101" s="28"/>
      <c r="O101" s="27"/>
      <c r="P101" s="4"/>
    </row>
    <row r="102" spans="1:16" x14ac:dyDescent="0.25">
      <c r="A102" s="27"/>
      <c r="B102" s="28"/>
      <c r="C102" s="27"/>
      <c r="D102" s="27"/>
      <c r="E102" s="27"/>
      <c r="F102" s="27"/>
      <c r="G102" s="27"/>
      <c r="H102" s="27"/>
      <c r="I102" s="28"/>
      <c r="J102" s="27"/>
      <c r="K102" s="27"/>
      <c r="L102" s="27"/>
      <c r="M102" s="27"/>
      <c r="N102" s="28"/>
      <c r="O102" s="27"/>
      <c r="P102" s="4"/>
    </row>
    <row r="103" spans="1:16" x14ac:dyDescent="0.25">
      <c r="A103" s="27"/>
      <c r="B103" s="28"/>
      <c r="C103" s="27"/>
      <c r="D103" s="27"/>
      <c r="E103" s="27"/>
      <c r="F103" s="27"/>
      <c r="G103" s="27"/>
      <c r="H103" s="27"/>
      <c r="I103" s="28"/>
      <c r="J103" s="27"/>
      <c r="K103" s="27"/>
      <c r="L103" s="27"/>
      <c r="M103" s="27"/>
      <c r="N103" s="28"/>
      <c r="O103" s="27"/>
      <c r="P103" s="4"/>
    </row>
    <row r="104" spans="1:16" x14ac:dyDescent="0.25">
      <c r="A104" s="27"/>
      <c r="B104" s="28"/>
      <c r="C104" s="27"/>
      <c r="D104" s="27"/>
      <c r="E104" s="27"/>
      <c r="F104" s="27"/>
      <c r="G104" s="27"/>
      <c r="H104" s="27"/>
      <c r="I104" s="28"/>
      <c r="J104" s="27"/>
      <c r="K104" s="27"/>
      <c r="L104" s="27"/>
      <c r="M104" s="27"/>
      <c r="N104" s="28"/>
      <c r="O104" s="27"/>
      <c r="P104" s="4"/>
    </row>
    <row r="105" spans="1:16" x14ac:dyDescent="0.25">
      <c r="A105" s="27"/>
      <c r="B105" s="28"/>
      <c r="C105" s="27"/>
      <c r="D105" s="27"/>
      <c r="E105" s="27"/>
      <c r="F105" s="27"/>
      <c r="G105" s="27"/>
      <c r="H105" s="27"/>
      <c r="I105" s="28"/>
      <c r="J105" s="27"/>
      <c r="K105" s="27"/>
      <c r="L105" s="27"/>
      <c r="M105" s="27"/>
      <c r="N105" s="28"/>
      <c r="O105" s="27"/>
      <c r="P105" s="4"/>
    </row>
    <row r="106" spans="1:16" x14ac:dyDescent="0.25">
      <c r="A106" s="27"/>
      <c r="B106" s="28"/>
      <c r="C106" s="27"/>
      <c r="D106" s="27"/>
      <c r="E106" s="27"/>
      <c r="F106" s="27"/>
      <c r="G106" s="27"/>
      <c r="H106" s="27"/>
      <c r="I106" s="28"/>
      <c r="J106" s="27"/>
      <c r="K106" s="27"/>
      <c r="L106" s="27"/>
      <c r="M106" s="27"/>
      <c r="N106" s="28"/>
      <c r="O106" s="27"/>
      <c r="P106" s="4"/>
    </row>
    <row r="107" spans="1:16" x14ac:dyDescent="0.25">
      <c r="A107" s="27"/>
      <c r="B107" s="28"/>
      <c r="C107" s="27"/>
      <c r="D107" s="27"/>
      <c r="E107" s="27"/>
      <c r="F107" s="27"/>
      <c r="G107" s="27"/>
      <c r="H107" s="27"/>
      <c r="I107" s="28"/>
      <c r="J107" s="27"/>
      <c r="K107" s="27"/>
      <c r="L107" s="27"/>
      <c r="M107" s="27"/>
      <c r="N107" s="28"/>
      <c r="O107" s="27"/>
      <c r="P107" s="4"/>
    </row>
    <row r="108" spans="1:16" x14ac:dyDescent="0.25">
      <c r="A108" s="27"/>
      <c r="B108" s="28"/>
      <c r="C108" s="27"/>
      <c r="D108" s="27"/>
      <c r="E108" s="27"/>
      <c r="F108" s="27"/>
      <c r="G108" s="27"/>
      <c r="H108" s="27"/>
      <c r="I108" s="28"/>
      <c r="J108" s="27"/>
      <c r="K108" s="27"/>
      <c r="L108" s="27"/>
      <c r="M108" s="27"/>
      <c r="N108" s="28"/>
      <c r="O108" s="27"/>
      <c r="P108" s="4"/>
    </row>
    <row r="109" spans="1:16" x14ac:dyDescent="0.25">
      <c r="A109" s="27"/>
      <c r="B109" s="28"/>
      <c r="C109" s="27"/>
      <c r="D109" s="27"/>
      <c r="E109" s="27"/>
      <c r="F109" s="27"/>
      <c r="G109" s="27"/>
      <c r="H109" s="27"/>
      <c r="I109" s="28"/>
      <c r="J109" s="27"/>
      <c r="K109" s="27"/>
      <c r="L109" s="27"/>
      <c r="M109" s="27"/>
      <c r="N109" s="28"/>
      <c r="O109" s="27"/>
      <c r="P109" s="4"/>
    </row>
    <row r="110" spans="1:16" x14ac:dyDescent="0.25">
      <c r="A110" s="27"/>
      <c r="B110" s="28"/>
      <c r="C110" s="27"/>
      <c r="D110" s="27"/>
      <c r="E110" s="27"/>
      <c r="F110" s="27"/>
      <c r="G110" s="27"/>
      <c r="H110" s="27"/>
      <c r="I110" s="28"/>
      <c r="J110" s="27"/>
      <c r="K110" s="27"/>
      <c r="L110" s="27"/>
      <c r="M110" s="27"/>
      <c r="N110" s="28"/>
      <c r="O110" s="27"/>
      <c r="P110" s="4"/>
    </row>
    <row r="111" spans="1:16" x14ac:dyDescent="0.25">
      <c r="A111" s="27"/>
      <c r="B111" s="28"/>
      <c r="C111" s="27"/>
      <c r="D111" s="27"/>
      <c r="E111" s="27"/>
      <c r="F111" s="27"/>
      <c r="G111" s="27"/>
      <c r="H111" s="27"/>
      <c r="I111" s="28"/>
      <c r="J111" s="27"/>
      <c r="K111" s="27"/>
      <c r="L111" s="27"/>
      <c r="M111" s="27"/>
      <c r="N111" s="28"/>
      <c r="O111" s="27"/>
      <c r="P111" s="4"/>
    </row>
    <row r="112" spans="1:16" x14ac:dyDescent="0.25">
      <c r="A112" s="27"/>
      <c r="B112" s="28"/>
      <c r="C112" s="27"/>
      <c r="D112" s="27"/>
      <c r="E112" s="27"/>
      <c r="F112" s="27"/>
      <c r="G112" s="27"/>
      <c r="H112" s="27"/>
      <c r="I112" s="28"/>
      <c r="J112" s="27"/>
      <c r="K112" s="27"/>
      <c r="L112" s="27"/>
      <c r="M112" s="27"/>
      <c r="N112" s="28"/>
      <c r="O112" s="27"/>
      <c r="P112" s="4"/>
    </row>
    <row r="113" spans="1:16" x14ac:dyDescent="0.25">
      <c r="A113" s="27"/>
      <c r="B113" s="28"/>
      <c r="C113" s="27"/>
      <c r="D113" s="27"/>
      <c r="E113" s="27"/>
      <c r="F113" s="27"/>
      <c r="G113" s="27"/>
      <c r="H113" s="27"/>
      <c r="I113" s="28"/>
      <c r="J113" s="27"/>
      <c r="K113" s="27"/>
      <c r="L113" s="27"/>
      <c r="M113" s="27"/>
      <c r="N113" s="28"/>
      <c r="O113" s="27"/>
      <c r="P113" s="4"/>
    </row>
    <row r="114" spans="1:16" x14ac:dyDescent="0.25">
      <c r="A114" s="27"/>
      <c r="B114" s="28"/>
      <c r="C114" s="27"/>
      <c r="D114" s="27"/>
      <c r="E114" s="27"/>
      <c r="F114" s="27"/>
      <c r="G114" s="27"/>
      <c r="H114" s="27"/>
      <c r="I114" s="28"/>
      <c r="J114" s="27"/>
      <c r="K114" s="27"/>
      <c r="L114" s="27"/>
      <c r="M114" s="27"/>
      <c r="N114" s="28"/>
      <c r="O114" s="27"/>
      <c r="P114" s="4"/>
    </row>
    <row r="115" spans="1:16" x14ac:dyDescent="0.25">
      <c r="A115" s="27"/>
      <c r="B115" s="28"/>
      <c r="C115" s="27"/>
      <c r="D115" s="27"/>
      <c r="E115" s="27"/>
      <c r="F115" s="27"/>
      <c r="G115" s="27"/>
      <c r="H115" s="27"/>
      <c r="I115" s="28"/>
      <c r="J115" s="27"/>
      <c r="K115" s="27"/>
      <c r="L115" s="27"/>
      <c r="M115" s="27"/>
      <c r="N115" s="28"/>
      <c r="O115" s="27"/>
      <c r="P115" s="4"/>
    </row>
    <row r="116" spans="1:16" x14ac:dyDescent="0.25">
      <c r="A116" s="27"/>
      <c r="B116" s="28"/>
      <c r="C116" s="27"/>
      <c r="D116" s="27"/>
      <c r="E116" s="27"/>
      <c r="F116" s="27"/>
      <c r="G116" s="27"/>
      <c r="H116" s="27"/>
      <c r="I116" s="28"/>
      <c r="J116" s="27"/>
      <c r="K116" s="27"/>
      <c r="L116" s="27"/>
      <c r="M116" s="27"/>
      <c r="N116" s="28"/>
      <c r="O116" s="27"/>
      <c r="P116" s="4"/>
    </row>
    <row r="117" spans="1:16" x14ac:dyDescent="0.25">
      <c r="A117" s="27"/>
      <c r="B117" s="28"/>
      <c r="C117" s="27"/>
      <c r="D117" s="27"/>
      <c r="E117" s="27"/>
      <c r="F117" s="27"/>
      <c r="G117" s="27"/>
      <c r="H117" s="27"/>
      <c r="I117" s="28"/>
      <c r="J117" s="27"/>
      <c r="K117" s="27"/>
      <c r="L117" s="27"/>
      <c r="M117" s="27"/>
      <c r="N117" s="28"/>
      <c r="O117" s="27"/>
      <c r="P117" s="4"/>
    </row>
    <row r="118" spans="1:16" x14ac:dyDescent="0.25">
      <c r="A118" s="27"/>
      <c r="B118" s="28"/>
      <c r="C118" s="27"/>
      <c r="D118" s="27"/>
      <c r="E118" s="27"/>
      <c r="F118" s="27"/>
      <c r="G118" s="27"/>
      <c r="H118" s="27"/>
      <c r="I118" s="28"/>
      <c r="J118" s="27"/>
      <c r="K118" s="27"/>
      <c r="L118" s="27"/>
      <c r="M118" s="27"/>
      <c r="N118" s="28"/>
      <c r="O118" s="27"/>
      <c r="P118" s="4"/>
    </row>
    <row r="119" spans="1:16" x14ac:dyDescent="0.25">
      <c r="A119" s="27"/>
      <c r="B119" s="28"/>
      <c r="C119" s="27"/>
      <c r="D119" s="27"/>
      <c r="E119" s="27"/>
      <c r="F119" s="27"/>
      <c r="G119" s="27"/>
      <c r="H119" s="27"/>
      <c r="I119" s="28"/>
      <c r="J119" s="27"/>
      <c r="K119" s="27"/>
      <c r="L119" s="27"/>
      <c r="M119" s="27"/>
      <c r="N119" s="28"/>
      <c r="O119" s="27"/>
      <c r="P119" s="4"/>
    </row>
    <row r="120" spans="1:16" x14ac:dyDescent="0.25">
      <c r="A120" s="27"/>
      <c r="B120" s="28"/>
      <c r="C120" s="27"/>
      <c r="D120" s="27"/>
      <c r="E120" s="27"/>
      <c r="F120" s="27"/>
      <c r="G120" s="27"/>
      <c r="H120" s="27"/>
      <c r="I120" s="28"/>
      <c r="J120" s="27"/>
      <c r="K120" s="27"/>
      <c r="L120" s="27"/>
      <c r="M120" s="27"/>
      <c r="N120" s="28"/>
      <c r="O120" s="27"/>
      <c r="P120" s="4"/>
    </row>
    <row r="121" spans="1:16" x14ac:dyDescent="0.25">
      <c r="A121" s="27"/>
      <c r="B121" s="28"/>
      <c r="C121" s="27"/>
      <c r="D121" s="27"/>
      <c r="E121" s="27"/>
      <c r="F121" s="27"/>
      <c r="G121" s="27"/>
      <c r="H121" s="27"/>
      <c r="I121" s="28"/>
      <c r="J121" s="27"/>
      <c r="K121" s="27"/>
      <c r="L121" s="27"/>
      <c r="M121" s="27"/>
      <c r="N121" s="28"/>
      <c r="O121" s="27"/>
      <c r="P121" s="4"/>
    </row>
    <row r="122" spans="1:16" x14ac:dyDescent="0.25">
      <c r="A122" s="27"/>
      <c r="B122" s="28"/>
      <c r="C122" s="27"/>
      <c r="D122" s="27"/>
      <c r="E122" s="27"/>
      <c r="F122" s="27"/>
      <c r="G122" s="27"/>
      <c r="H122" s="27"/>
      <c r="I122" s="28"/>
      <c r="J122" s="27"/>
      <c r="K122" s="27"/>
      <c r="L122" s="27"/>
      <c r="M122" s="27"/>
      <c r="N122" s="28"/>
      <c r="O122" s="27"/>
      <c r="P122" s="4"/>
    </row>
    <row r="123" spans="1:16" x14ac:dyDescent="0.25">
      <c r="A123" s="27"/>
      <c r="B123" s="28"/>
      <c r="C123" s="27"/>
      <c r="D123" s="27"/>
      <c r="E123" s="27"/>
      <c r="F123" s="27"/>
      <c r="G123" s="27"/>
      <c r="H123" s="27"/>
      <c r="I123" s="28"/>
      <c r="J123" s="27"/>
      <c r="K123" s="27"/>
      <c r="L123" s="27"/>
      <c r="M123" s="27"/>
      <c r="N123" s="28"/>
      <c r="O123" s="27"/>
      <c r="P123" s="4"/>
    </row>
    <row r="124" spans="1:16" x14ac:dyDescent="0.25">
      <c r="A124" s="27"/>
      <c r="B124" s="28"/>
      <c r="C124" s="27"/>
      <c r="D124" s="27"/>
      <c r="E124" s="27"/>
      <c r="F124" s="27"/>
      <c r="G124" s="27"/>
      <c r="H124" s="27"/>
      <c r="I124" s="28"/>
      <c r="J124" s="27"/>
      <c r="K124" s="27"/>
      <c r="L124" s="27"/>
      <c r="M124" s="27"/>
      <c r="N124" s="28"/>
      <c r="O124" s="27"/>
      <c r="P124" s="4"/>
    </row>
    <row r="125" spans="1:16" x14ac:dyDescent="0.25">
      <c r="A125" s="27"/>
      <c r="B125" s="28"/>
      <c r="C125" s="27"/>
      <c r="D125" s="27"/>
      <c r="E125" s="27"/>
      <c r="F125" s="27"/>
      <c r="G125" s="27"/>
      <c r="H125" s="27"/>
      <c r="I125" s="28"/>
      <c r="J125" s="27"/>
      <c r="K125" s="27"/>
      <c r="L125" s="27"/>
      <c r="M125" s="27"/>
      <c r="N125" s="28"/>
      <c r="O125" s="27"/>
      <c r="P125" s="4"/>
    </row>
    <row r="126" spans="1:16" x14ac:dyDescent="0.25">
      <c r="A126" s="27"/>
      <c r="B126" s="28"/>
      <c r="C126" s="27"/>
      <c r="D126" s="27"/>
      <c r="E126" s="27"/>
      <c r="F126" s="27"/>
      <c r="G126" s="27"/>
      <c r="H126" s="27"/>
      <c r="I126" s="28"/>
      <c r="J126" s="27"/>
      <c r="K126" s="27"/>
      <c r="L126" s="27"/>
      <c r="M126" s="27"/>
      <c r="N126" s="28"/>
      <c r="O126" s="27"/>
      <c r="P126" s="4"/>
    </row>
    <row r="127" spans="1:16" x14ac:dyDescent="0.25">
      <c r="A127" s="27"/>
      <c r="B127" s="28"/>
      <c r="C127" s="27"/>
      <c r="D127" s="27"/>
      <c r="E127" s="27"/>
      <c r="F127" s="27"/>
      <c r="G127" s="27"/>
      <c r="H127" s="27"/>
      <c r="I127" s="28"/>
      <c r="J127" s="27"/>
      <c r="K127" s="27"/>
      <c r="L127" s="27"/>
      <c r="M127" s="27"/>
      <c r="N127" s="28"/>
      <c r="O127" s="27"/>
      <c r="P127" s="4"/>
    </row>
    <row r="128" spans="1:16" x14ac:dyDescent="0.25">
      <c r="A128" s="27"/>
      <c r="B128" s="28"/>
      <c r="C128" s="27"/>
      <c r="D128" s="27"/>
      <c r="E128" s="27"/>
      <c r="F128" s="27"/>
      <c r="G128" s="27"/>
      <c r="H128" s="27"/>
      <c r="I128" s="28"/>
      <c r="J128" s="27"/>
      <c r="K128" s="27"/>
      <c r="L128" s="27"/>
      <c r="M128" s="27"/>
      <c r="N128" s="28"/>
      <c r="O128" s="27"/>
      <c r="P128" s="4"/>
    </row>
    <row r="129" spans="1:16" x14ac:dyDescent="0.25">
      <c r="A129" s="27"/>
      <c r="B129" s="28"/>
      <c r="C129" s="27"/>
      <c r="D129" s="27"/>
      <c r="E129" s="27"/>
      <c r="F129" s="27"/>
      <c r="G129" s="27"/>
      <c r="H129" s="27"/>
      <c r="I129" s="28"/>
      <c r="J129" s="27"/>
      <c r="K129" s="27"/>
      <c r="L129" s="27"/>
      <c r="M129" s="27"/>
      <c r="N129" s="28"/>
      <c r="O129" s="27"/>
      <c r="P129" s="4"/>
    </row>
    <row r="130" spans="1:16" x14ac:dyDescent="0.25">
      <c r="A130" s="27"/>
      <c r="B130" s="28"/>
      <c r="C130" s="27"/>
      <c r="D130" s="27"/>
      <c r="E130" s="27"/>
      <c r="F130" s="27"/>
      <c r="G130" s="27"/>
      <c r="H130" s="27"/>
      <c r="I130" s="28"/>
      <c r="J130" s="27"/>
      <c r="K130" s="27"/>
      <c r="L130" s="27"/>
      <c r="M130" s="27"/>
      <c r="N130" s="28"/>
      <c r="O130" s="27"/>
      <c r="P130" s="4"/>
    </row>
    <row r="131" spans="1:16" x14ac:dyDescent="0.25">
      <c r="A131" s="27"/>
      <c r="B131" s="28"/>
      <c r="C131" s="27"/>
      <c r="D131" s="27"/>
      <c r="E131" s="27"/>
      <c r="F131" s="27"/>
      <c r="G131" s="27"/>
      <c r="H131" s="27"/>
      <c r="I131" s="28"/>
      <c r="J131" s="27"/>
      <c r="K131" s="27"/>
      <c r="L131" s="27"/>
      <c r="M131" s="27"/>
      <c r="N131" s="28"/>
      <c r="O131" s="27"/>
      <c r="P131" s="4"/>
    </row>
    <row r="132" spans="1:16" x14ac:dyDescent="0.25">
      <c r="A132" s="27"/>
      <c r="B132" s="28"/>
      <c r="C132" s="27"/>
      <c r="D132" s="27"/>
      <c r="E132" s="27"/>
      <c r="F132" s="27"/>
      <c r="G132" s="27"/>
      <c r="H132" s="27"/>
      <c r="I132" s="28"/>
      <c r="J132" s="27"/>
      <c r="K132" s="27"/>
      <c r="L132" s="27"/>
      <c r="M132" s="27"/>
      <c r="N132" s="28"/>
      <c r="O132" s="27"/>
      <c r="P132" s="4"/>
    </row>
    <row r="133" spans="1:16" x14ac:dyDescent="0.25">
      <c r="A133" s="27"/>
      <c r="B133" s="28"/>
      <c r="C133" s="27"/>
      <c r="D133" s="27"/>
      <c r="E133" s="27"/>
      <c r="F133" s="27"/>
      <c r="G133" s="27"/>
      <c r="H133" s="27"/>
      <c r="I133" s="28"/>
      <c r="J133" s="27"/>
      <c r="K133" s="27"/>
      <c r="L133" s="27"/>
      <c r="M133" s="27"/>
      <c r="N133" s="28"/>
      <c r="O133" s="27"/>
      <c r="P133" s="4"/>
    </row>
    <row r="134" spans="1:16" x14ac:dyDescent="0.25">
      <c r="A134" s="27"/>
      <c r="B134" s="28"/>
      <c r="C134" s="27"/>
      <c r="D134" s="27"/>
      <c r="E134" s="27"/>
      <c r="F134" s="27"/>
      <c r="G134" s="27"/>
      <c r="H134" s="27"/>
      <c r="I134" s="28"/>
      <c r="J134" s="27"/>
      <c r="K134" s="27"/>
      <c r="L134" s="27"/>
      <c r="M134" s="27"/>
      <c r="N134" s="28"/>
      <c r="O134" s="27"/>
      <c r="P134" s="4"/>
    </row>
    <row r="135" spans="1:16" x14ac:dyDescent="0.25">
      <c r="A135" s="27"/>
      <c r="B135" s="28"/>
      <c r="C135" s="27"/>
      <c r="D135" s="27"/>
      <c r="E135" s="27"/>
      <c r="F135" s="27"/>
      <c r="G135" s="27"/>
      <c r="H135" s="27"/>
      <c r="I135" s="28"/>
      <c r="J135" s="27"/>
      <c r="K135" s="27"/>
      <c r="L135" s="27"/>
      <c r="M135" s="27"/>
      <c r="N135" s="28"/>
      <c r="O135" s="27"/>
      <c r="P135" s="4"/>
    </row>
    <row r="136" spans="1:16" x14ac:dyDescent="0.25">
      <c r="A136" s="27"/>
      <c r="B136" s="28"/>
      <c r="C136" s="27"/>
      <c r="D136" s="27"/>
      <c r="E136" s="27"/>
      <c r="F136" s="27"/>
      <c r="G136" s="27"/>
      <c r="H136" s="27"/>
      <c r="I136" s="28"/>
      <c r="J136" s="27"/>
      <c r="K136" s="27"/>
      <c r="L136" s="27"/>
      <c r="M136" s="27"/>
      <c r="N136" s="28"/>
      <c r="O136" s="27"/>
      <c r="P136" s="4"/>
    </row>
    <row r="137" spans="1:16" x14ac:dyDescent="0.25">
      <c r="A137" s="27"/>
      <c r="B137" s="28"/>
      <c r="C137" s="27"/>
      <c r="D137" s="27"/>
      <c r="E137" s="27"/>
      <c r="F137" s="27"/>
      <c r="G137" s="27"/>
      <c r="H137" s="27"/>
      <c r="I137" s="28"/>
      <c r="J137" s="27"/>
      <c r="K137" s="27"/>
      <c r="L137" s="27"/>
      <c r="M137" s="27"/>
      <c r="N137" s="28"/>
      <c r="O137" s="27"/>
      <c r="P137" s="4"/>
    </row>
    <row r="138" spans="1:16" x14ac:dyDescent="0.25">
      <c r="A138" s="27"/>
      <c r="B138" s="28"/>
      <c r="C138" s="27"/>
      <c r="D138" s="27"/>
      <c r="E138" s="27"/>
      <c r="F138" s="27"/>
      <c r="G138" s="27"/>
      <c r="H138" s="27"/>
      <c r="I138" s="28"/>
      <c r="J138" s="27"/>
      <c r="K138" s="27"/>
      <c r="L138" s="27"/>
      <c r="M138" s="27"/>
      <c r="N138" s="28"/>
      <c r="O138" s="27"/>
      <c r="P138" s="4"/>
    </row>
    <row r="139" spans="1:16" x14ac:dyDescent="0.25">
      <c r="A139" s="27"/>
      <c r="B139" s="28"/>
      <c r="C139" s="27"/>
      <c r="D139" s="27"/>
      <c r="E139" s="27"/>
      <c r="F139" s="27"/>
      <c r="G139" s="27"/>
      <c r="H139" s="27"/>
      <c r="I139" s="28"/>
      <c r="J139" s="27"/>
      <c r="K139" s="27"/>
      <c r="L139" s="27"/>
      <c r="M139" s="27"/>
      <c r="N139" s="28"/>
      <c r="O139" s="27"/>
      <c r="P139" s="4"/>
    </row>
    <row r="140" spans="1:16" x14ac:dyDescent="0.25">
      <c r="A140" s="27"/>
      <c r="B140" s="28"/>
      <c r="C140" s="27"/>
      <c r="D140" s="27"/>
      <c r="E140" s="27"/>
      <c r="F140" s="27"/>
      <c r="G140" s="27"/>
      <c r="H140" s="27"/>
      <c r="I140" s="28"/>
      <c r="J140" s="27"/>
      <c r="K140" s="27"/>
      <c r="L140" s="27"/>
      <c r="M140" s="27"/>
      <c r="N140" s="28"/>
      <c r="O140" s="27"/>
      <c r="P140" s="4"/>
    </row>
    <row r="141" spans="1:16" x14ac:dyDescent="0.25">
      <c r="A141" s="27"/>
      <c r="B141" s="28"/>
      <c r="C141" s="27"/>
      <c r="D141" s="27"/>
      <c r="E141" s="27"/>
      <c r="F141" s="27"/>
      <c r="G141" s="27"/>
      <c r="H141" s="27"/>
      <c r="I141" s="28"/>
      <c r="J141" s="27"/>
      <c r="K141" s="27"/>
      <c r="L141" s="27"/>
      <c r="M141" s="27"/>
      <c r="N141" s="28"/>
      <c r="O141" s="27"/>
      <c r="P141" s="4"/>
    </row>
    <row r="142" spans="1:16" x14ac:dyDescent="0.25">
      <c r="A142" s="27"/>
      <c r="B142" s="28"/>
      <c r="C142" s="27"/>
      <c r="D142" s="27"/>
      <c r="E142" s="27"/>
      <c r="F142" s="27"/>
      <c r="G142" s="27"/>
      <c r="H142" s="27"/>
      <c r="I142" s="28"/>
      <c r="J142" s="27"/>
      <c r="K142" s="27"/>
      <c r="L142" s="27"/>
      <c r="M142" s="27"/>
      <c r="N142" s="28"/>
      <c r="O142" s="27"/>
      <c r="P142" s="4"/>
    </row>
    <row r="143" spans="1:16" x14ac:dyDescent="0.25">
      <c r="A143" s="27"/>
      <c r="B143" s="28"/>
      <c r="C143" s="27"/>
      <c r="D143" s="27"/>
      <c r="E143" s="27"/>
      <c r="F143" s="27"/>
      <c r="G143" s="27"/>
      <c r="H143" s="27"/>
      <c r="I143" s="28"/>
      <c r="J143" s="27"/>
      <c r="K143" s="27"/>
      <c r="L143" s="27"/>
      <c r="M143" s="27"/>
      <c r="N143" s="28"/>
      <c r="O143" s="27"/>
      <c r="P143" s="4"/>
    </row>
    <row r="144" spans="1:16" x14ac:dyDescent="0.25">
      <c r="A144" s="27"/>
      <c r="B144" s="28"/>
      <c r="C144" s="27"/>
      <c r="D144" s="27"/>
      <c r="E144" s="27"/>
      <c r="F144" s="27"/>
      <c r="G144" s="27"/>
      <c r="H144" s="27"/>
      <c r="I144" s="28"/>
      <c r="J144" s="27"/>
      <c r="K144" s="27"/>
      <c r="L144" s="27"/>
      <c r="M144" s="27"/>
      <c r="N144" s="28"/>
      <c r="O144" s="27"/>
      <c r="P144" s="4"/>
    </row>
    <row r="145" spans="1:16" x14ac:dyDescent="0.25">
      <c r="A145" s="27"/>
      <c r="B145" s="28"/>
      <c r="C145" s="27"/>
      <c r="D145" s="27"/>
      <c r="E145" s="27"/>
      <c r="F145" s="27"/>
      <c r="G145" s="27"/>
      <c r="H145" s="27"/>
      <c r="I145" s="28"/>
      <c r="J145" s="27"/>
      <c r="K145" s="27"/>
      <c r="L145" s="27"/>
      <c r="M145" s="27"/>
      <c r="N145" s="28"/>
      <c r="O145" s="27"/>
      <c r="P145" s="4"/>
    </row>
    <row r="146" spans="1:16" x14ac:dyDescent="0.25">
      <c r="A146" s="27"/>
      <c r="B146" s="28"/>
      <c r="C146" s="27"/>
      <c r="D146" s="27"/>
      <c r="E146" s="27"/>
      <c r="F146" s="27"/>
      <c r="G146" s="27"/>
      <c r="H146" s="27"/>
      <c r="I146" s="28"/>
      <c r="J146" s="27"/>
      <c r="K146" s="27"/>
      <c r="L146" s="27"/>
      <c r="M146" s="27"/>
      <c r="N146" s="28"/>
      <c r="O146" s="27"/>
      <c r="P146" s="4"/>
    </row>
    <row r="147" spans="1:16" x14ac:dyDescent="0.25">
      <c r="A147" s="27"/>
      <c r="B147" s="28"/>
      <c r="C147" s="27"/>
      <c r="D147" s="27"/>
      <c r="E147" s="27"/>
      <c r="F147" s="27"/>
      <c r="G147" s="27"/>
      <c r="H147" s="27"/>
      <c r="I147" s="28"/>
      <c r="J147" s="27"/>
      <c r="K147" s="27"/>
      <c r="L147" s="27"/>
      <c r="M147" s="27"/>
      <c r="N147" s="28"/>
      <c r="O147" s="27"/>
      <c r="P147" s="4"/>
    </row>
    <row r="148" spans="1:16" x14ac:dyDescent="0.25">
      <c r="A148" s="27"/>
      <c r="B148" s="28"/>
      <c r="C148" s="27"/>
      <c r="D148" s="27"/>
      <c r="E148" s="27"/>
      <c r="F148" s="27"/>
      <c r="G148" s="27"/>
      <c r="H148" s="27"/>
      <c r="I148" s="28"/>
      <c r="J148" s="27"/>
      <c r="K148" s="27"/>
      <c r="L148" s="27"/>
      <c r="M148" s="27"/>
      <c r="N148" s="28"/>
      <c r="O148" s="27"/>
      <c r="P148" s="4"/>
    </row>
    <row r="149" spans="1:16" x14ac:dyDescent="0.25">
      <c r="A149" s="27"/>
      <c r="B149" s="28"/>
      <c r="C149" s="27"/>
      <c r="D149" s="27"/>
      <c r="E149" s="27"/>
      <c r="F149" s="27"/>
      <c r="G149" s="27"/>
      <c r="H149" s="27"/>
      <c r="I149" s="28"/>
      <c r="J149" s="27"/>
      <c r="K149" s="27"/>
      <c r="L149" s="27"/>
      <c r="M149" s="27"/>
      <c r="N149" s="28"/>
      <c r="O149" s="27"/>
      <c r="P149" s="4"/>
    </row>
    <row r="150" spans="1:16" x14ac:dyDescent="0.25">
      <c r="A150" s="27"/>
      <c r="B150" s="28"/>
      <c r="C150" s="27"/>
      <c r="D150" s="27"/>
      <c r="E150" s="27"/>
      <c r="F150" s="27"/>
      <c r="G150" s="27"/>
      <c r="H150" s="27"/>
      <c r="I150" s="28"/>
      <c r="J150" s="27"/>
      <c r="K150" s="27"/>
      <c r="L150" s="27"/>
      <c r="M150" s="27"/>
      <c r="N150" s="28"/>
      <c r="O150" s="27"/>
      <c r="P150" s="4"/>
    </row>
    <row r="151" spans="1:16" x14ac:dyDescent="0.25">
      <c r="A151" s="27"/>
      <c r="B151" s="28"/>
      <c r="C151" s="27"/>
      <c r="D151" s="27"/>
      <c r="E151" s="27"/>
      <c r="F151" s="27"/>
      <c r="G151" s="27"/>
      <c r="H151" s="27"/>
      <c r="I151" s="28"/>
      <c r="J151" s="27"/>
      <c r="K151" s="27"/>
      <c r="L151" s="27"/>
      <c r="M151" s="27"/>
      <c r="N151" s="28"/>
      <c r="O151" s="27"/>
      <c r="P151" s="4"/>
    </row>
    <row r="152" spans="1:16" x14ac:dyDescent="0.25">
      <c r="A152" s="27"/>
      <c r="B152" s="28"/>
      <c r="C152" s="27"/>
      <c r="D152" s="27"/>
      <c r="E152" s="27"/>
      <c r="F152" s="27"/>
      <c r="G152" s="27"/>
      <c r="H152" s="27"/>
      <c r="I152" s="28"/>
      <c r="J152" s="27"/>
      <c r="K152" s="27"/>
      <c r="L152" s="27"/>
      <c r="M152" s="27"/>
      <c r="N152" s="28"/>
      <c r="O152" s="27"/>
      <c r="P152" s="4"/>
    </row>
    <row r="153" spans="1:16" x14ac:dyDescent="0.25">
      <c r="A153" s="27"/>
      <c r="B153" s="28"/>
      <c r="C153" s="27"/>
      <c r="D153" s="27"/>
      <c r="E153" s="27"/>
      <c r="F153" s="27"/>
      <c r="G153" s="27"/>
      <c r="H153" s="27"/>
      <c r="I153" s="28"/>
      <c r="J153" s="27"/>
      <c r="K153" s="27"/>
      <c r="L153" s="27"/>
      <c r="M153" s="27"/>
      <c r="N153" s="28"/>
      <c r="O153" s="27"/>
      <c r="P153" s="4"/>
    </row>
    <row r="154" spans="1:16" x14ac:dyDescent="0.25">
      <c r="A154" s="27"/>
      <c r="B154" s="28"/>
      <c r="C154" s="27"/>
      <c r="D154" s="27"/>
      <c r="E154" s="27"/>
      <c r="F154" s="27"/>
      <c r="G154" s="27"/>
      <c r="H154" s="27"/>
      <c r="I154" s="28"/>
      <c r="J154" s="27"/>
      <c r="K154" s="27"/>
      <c r="L154" s="27"/>
      <c r="M154" s="27"/>
      <c r="N154" s="28"/>
      <c r="O154" s="27"/>
      <c r="P154" s="4"/>
    </row>
    <row r="155" spans="1:16" x14ac:dyDescent="0.25">
      <c r="A155" s="27"/>
      <c r="B155" s="28"/>
      <c r="C155" s="27"/>
      <c r="D155" s="27"/>
      <c r="E155" s="27"/>
      <c r="F155" s="27"/>
      <c r="G155" s="27"/>
      <c r="H155" s="27"/>
      <c r="I155" s="28"/>
      <c r="J155" s="27"/>
      <c r="K155" s="27"/>
      <c r="L155" s="27"/>
      <c r="M155" s="27"/>
      <c r="N155" s="28"/>
      <c r="O155" s="27"/>
      <c r="P155" s="4"/>
    </row>
    <row r="156" spans="1:16" x14ac:dyDescent="0.25">
      <c r="A156" s="27"/>
      <c r="B156" s="28"/>
      <c r="C156" s="27"/>
      <c r="D156" s="27"/>
      <c r="E156" s="27"/>
      <c r="F156" s="27"/>
      <c r="G156" s="27"/>
      <c r="H156" s="27"/>
      <c r="I156" s="28"/>
      <c r="J156" s="27"/>
      <c r="K156" s="27"/>
      <c r="L156" s="27"/>
      <c r="M156" s="27"/>
      <c r="N156" s="28"/>
      <c r="O156" s="27"/>
      <c r="P156" s="4"/>
    </row>
    <row r="157" spans="1:16" x14ac:dyDescent="0.25">
      <c r="A157" s="27"/>
      <c r="B157" s="28"/>
      <c r="C157" s="27"/>
      <c r="D157" s="27"/>
      <c r="E157" s="27"/>
      <c r="F157" s="27"/>
      <c r="G157" s="27"/>
      <c r="H157" s="27"/>
      <c r="I157" s="28"/>
      <c r="J157" s="27"/>
      <c r="K157" s="27"/>
      <c r="L157" s="27"/>
      <c r="M157" s="27"/>
      <c r="N157" s="28"/>
      <c r="O157" s="27"/>
      <c r="P157" s="4"/>
    </row>
    <row r="158" spans="1:16" x14ac:dyDescent="0.25">
      <c r="A158" s="27"/>
      <c r="B158" s="28"/>
      <c r="C158" s="27"/>
      <c r="D158" s="27"/>
      <c r="E158" s="27"/>
      <c r="F158" s="27"/>
      <c r="G158" s="27"/>
      <c r="H158" s="27"/>
      <c r="I158" s="28"/>
      <c r="J158" s="27"/>
      <c r="K158" s="27"/>
      <c r="L158" s="27"/>
      <c r="M158" s="27"/>
      <c r="N158" s="28"/>
      <c r="O158" s="27"/>
      <c r="P158" s="4"/>
    </row>
    <row r="159" spans="1:16" x14ac:dyDescent="0.25">
      <c r="A159" s="27"/>
      <c r="B159" s="28"/>
      <c r="C159" s="27"/>
      <c r="D159" s="27"/>
      <c r="E159" s="27"/>
      <c r="F159" s="27"/>
      <c r="G159" s="27"/>
      <c r="H159" s="27"/>
      <c r="I159" s="28"/>
      <c r="J159" s="27"/>
      <c r="K159" s="27"/>
      <c r="L159" s="27"/>
      <c r="M159" s="27"/>
      <c r="N159" s="28"/>
      <c r="O159" s="27"/>
      <c r="P159" s="4"/>
    </row>
    <row r="160" spans="1:16" x14ac:dyDescent="0.25">
      <c r="A160" s="27"/>
      <c r="B160" s="28"/>
      <c r="C160" s="27"/>
      <c r="D160" s="27"/>
      <c r="E160" s="27"/>
      <c r="F160" s="27"/>
      <c r="G160" s="27"/>
      <c r="H160" s="27"/>
      <c r="I160" s="28"/>
      <c r="J160" s="27"/>
      <c r="K160" s="27"/>
      <c r="L160" s="27"/>
      <c r="M160" s="27"/>
      <c r="N160" s="28"/>
      <c r="O160" s="27"/>
      <c r="P160" s="4"/>
    </row>
    <row r="161" spans="1:16" x14ac:dyDescent="0.25">
      <c r="A161" s="27"/>
      <c r="B161" s="28"/>
      <c r="C161" s="27"/>
      <c r="D161" s="27"/>
      <c r="E161" s="27"/>
      <c r="F161" s="27"/>
      <c r="G161" s="27"/>
      <c r="H161" s="27"/>
      <c r="I161" s="28"/>
      <c r="J161" s="27"/>
      <c r="K161" s="27"/>
      <c r="L161" s="27"/>
      <c r="M161" s="27"/>
      <c r="N161" s="28"/>
      <c r="O161" s="27"/>
      <c r="P161" s="4"/>
    </row>
    <row r="162" spans="1:16" x14ac:dyDescent="0.25">
      <c r="A162" s="27"/>
      <c r="B162" s="28"/>
      <c r="C162" s="27"/>
      <c r="D162" s="27"/>
      <c r="E162" s="27"/>
      <c r="F162" s="27"/>
      <c r="G162" s="27"/>
      <c r="H162" s="27"/>
      <c r="I162" s="28"/>
      <c r="J162" s="27"/>
      <c r="K162" s="27"/>
      <c r="L162" s="27"/>
      <c r="M162" s="27"/>
      <c r="N162" s="28"/>
      <c r="O162" s="27"/>
      <c r="P162" s="4"/>
    </row>
    <row r="163" spans="1:16" x14ac:dyDescent="0.25">
      <c r="A163" s="27"/>
      <c r="B163" s="28"/>
      <c r="C163" s="27"/>
      <c r="D163" s="27"/>
      <c r="E163" s="27"/>
      <c r="F163" s="27"/>
      <c r="G163" s="27"/>
      <c r="H163" s="27"/>
      <c r="I163" s="28"/>
      <c r="J163" s="27"/>
      <c r="K163" s="27"/>
      <c r="L163" s="27"/>
      <c r="M163" s="27"/>
      <c r="N163" s="28"/>
      <c r="O163" s="27"/>
      <c r="P163" s="4"/>
    </row>
    <row r="164" spans="1:16" x14ac:dyDescent="0.25">
      <c r="A164" s="27"/>
      <c r="B164" s="28"/>
      <c r="C164" s="27"/>
      <c r="D164" s="27"/>
      <c r="E164" s="27"/>
      <c r="F164" s="27"/>
      <c r="G164" s="27"/>
      <c r="H164" s="27"/>
      <c r="I164" s="28"/>
      <c r="J164" s="27"/>
      <c r="K164" s="27"/>
      <c r="L164" s="27"/>
      <c r="M164" s="27"/>
      <c r="N164" s="28"/>
      <c r="O164" s="27"/>
      <c r="P164" s="4"/>
    </row>
    <row r="165" spans="1:16" x14ac:dyDescent="0.25">
      <c r="A165" s="27"/>
      <c r="B165" s="28"/>
      <c r="C165" s="27"/>
      <c r="D165" s="27"/>
      <c r="E165" s="27"/>
      <c r="F165" s="27"/>
      <c r="G165" s="27"/>
      <c r="H165" s="27"/>
      <c r="I165" s="28"/>
      <c r="J165" s="27"/>
      <c r="K165" s="27"/>
      <c r="L165" s="27"/>
      <c r="M165" s="27"/>
      <c r="N165" s="28"/>
      <c r="O165" s="27"/>
      <c r="P165" s="4"/>
    </row>
    <row r="166" spans="1:16" x14ac:dyDescent="0.25">
      <c r="A166" s="27"/>
      <c r="B166" s="28"/>
      <c r="C166" s="27"/>
      <c r="D166" s="27"/>
      <c r="E166" s="27"/>
      <c r="F166" s="27"/>
      <c r="G166" s="27"/>
      <c r="H166" s="27"/>
      <c r="I166" s="28"/>
      <c r="J166" s="27"/>
      <c r="K166" s="27"/>
      <c r="L166" s="27"/>
      <c r="M166" s="27"/>
      <c r="N166" s="28"/>
      <c r="O166" s="27"/>
      <c r="P166" s="4"/>
    </row>
    <row r="167" spans="1:16" x14ac:dyDescent="0.25">
      <c r="A167" s="27"/>
      <c r="B167" s="28"/>
      <c r="C167" s="27"/>
      <c r="D167" s="27"/>
      <c r="E167" s="27"/>
      <c r="F167" s="27"/>
      <c r="G167" s="27"/>
      <c r="H167" s="27"/>
      <c r="I167" s="28"/>
      <c r="J167" s="27"/>
      <c r="K167" s="27"/>
      <c r="L167" s="27"/>
      <c r="M167" s="27"/>
      <c r="N167" s="28"/>
      <c r="O167" s="27"/>
      <c r="P167" s="4"/>
    </row>
    <row r="168" spans="1:16" x14ac:dyDescent="0.25">
      <c r="A168" s="27"/>
      <c r="B168" s="28"/>
      <c r="C168" s="27"/>
      <c r="D168" s="27"/>
      <c r="E168" s="27"/>
      <c r="F168" s="27"/>
      <c r="G168" s="27"/>
      <c r="H168" s="27"/>
      <c r="I168" s="28"/>
      <c r="J168" s="27"/>
      <c r="K168" s="27"/>
      <c r="L168" s="27"/>
      <c r="M168" s="27"/>
      <c r="N168" s="28"/>
      <c r="O168" s="27"/>
      <c r="P168" s="4"/>
    </row>
    <row r="169" spans="1:16" x14ac:dyDescent="0.25">
      <c r="A169" s="27"/>
      <c r="B169" s="28"/>
      <c r="C169" s="27"/>
      <c r="D169" s="27"/>
      <c r="E169" s="27"/>
      <c r="F169" s="27"/>
      <c r="G169" s="27"/>
      <c r="H169" s="27"/>
      <c r="I169" s="28"/>
      <c r="J169" s="27"/>
      <c r="K169" s="27"/>
      <c r="L169" s="27"/>
      <c r="M169" s="27"/>
      <c r="N169" s="28"/>
      <c r="O169" s="27"/>
      <c r="P169" s="4"/>
    </row>
    <row r="170" spans="1:16" x14ac:dyDescent="0.25">
      <c r="A170" s="27"/>
      <c r="B170" s="28"/>
      <c r="C170" s="27"/>
      <c r="D170" s="27"/>
      <c r="E170" s="27"/>
      <c r="F170" s="27"/>
      <c r="G170" s="27"/>
      <c r="H170" s="27"/>
      <c r="I170" s="28"/>
      <c r="J170" s="27"/>
      <c r="K170" s="27"/>
      <c r="L170" s="27"/>
      <c r="M170" s="27"/>
      <c r="N170" s="28"/>
      <c r="O170" s="27"/>
      <c r="P170" s="4"/>
    </row>
    <row r="171" spans="1:16" x14ac:dyDescent="0.25">
      <c r="A171" s="27"/>
      <c r="B171" s="28"/>
      <c r="C171" s="27"/>
      <c r="D171" s="27"/>
      <c r="E171" s="27"/>
      <c r="F171" s="27"/>
      <c r="G171" s="27"/>
      <c r="H171" s="27"/>
      <c r="I171" s="28"/>
      <c r="J171" s="27"/>
      <c r="K171" s="27"/>
      <c r="L171" s="27"/>
      <c r="M171" s="27"/>
      <c r="N171" s="28"/>
      <c r="O171" s="27"/>
      <c r="P171" s="4"/>
    </row>
    <row r="172" spans="1:16" x14ac:dyDescent="0.25">
      <c r="A172" s="27"/>
      <c r="B172" s="28"/>
      <c r="C172" s="27"/>
      <c r="D172" s="27"/>
      <c r="E172" s="27"/>
      <c r="F172" s="27"/>
      <c r="G172" s="27"/>
      <c r="H172" s="27"/>
      <c r="I172" s="28"/>
      <c r="J172" s="27"/>
      <c r="K172" s="27"/>
      <c r="L172" s="27"/>
      <c r="M172" s="27"/>
      <c r="N172" s="28"/>
      <c r="O172" s="27"/>
      <c r="P172" s="4"/>
    </row>
    <row r="173" spans="1:16" x14ac:dyDescent="0.25">
      <c r="A173" s="27"/>
      <c r="B173" s="28"/>
      <c r="C173" s="27"/>
      <c r="D173" s="27"/>
      <c r="E173" s="27"/>
      <c r="F173" s="27"/>
      <c r="G173" s="27"/>
      <c r="H173" s="27"/>
      <c r="I173" s="28"/>
      <c r="J173" s="27"/>
      <c r="K173" s="27"/>
      <c r="L173" s="27"/>
      <c r="M173" s="27"/>
      <c r="N173" s="28"/>
      <c r="O173" s="27"/>
      <c r="P173" s="4"/>
    </row>
    <row r="174" spans="1:16" x14ac:dyDescent="0.25">
      <c r="A174" s="27"/>
      <c r="B174" s="28"/>
      <c r="C174" s="27"/>
      <c r="D174" s="27"/>
      <c r="E174" s="27"/>
      <c r="F174" s="27"/>
      <c r="G174" s="27"/>
      <c r="H174" s="27"/>
      <c r="I174" s="28"/>
      <c r="J174" s="27"/>
      <c r="K174" s="27"/>
      <c r="L174" s="27"/>
      <c r="M174" s="27"/>
      <c r="N174" s="28"/>
      <c r="O174" s="27"/>
      <c r="P174" s="4"/>
    </row>
    <row r="175" spans="1:16" x14ac:dyDescent="0.25">
      <c r="A175" s="27"/>
      <c r="B175" s="28"/>
      <c r="C175" s="27"/>
      <c r="D175" s="27"/>
      <c r="E175" s="27"/>
      <c r="F175" s="27"/>
      <c r="G175" s="27"/>
      <c r="H175" s="27"/>
      <c r="I175" s="28"/>
      <c r="J175" s="27"/>
      <c r="K175" s="27"/>
      <c r="L175" s="27"/>
      <c r="M175" s="27"/>
      <c r="N175" s="28"/>
      <c r="O175" s="27"/>
      <c r="P175" s="4"/>
    </row>
    <row r="176" spans="1:16" x14ac:dyDescent="0.25">
      <c r="A176" s="27"/>
      <c r="B176" s="28"/>
      <c r="C176" s="27"/>
      <c r="D176" s="27"/>
      <c r="E176" s="27"/>
      <c r="F176" s="27"/>
      <c r="G176" s="27"/>
      <c r="H176" s="27"/>
      <c r="I176" s="28"/>
      <c r="J176" s="27"/>
      <c r="K176" s="27"/>
      <c r="L176" s="27"/>
      <c r="M176" s="27"/>
      <c r="N176" s="28"/>
      <c r="O176" s="27"/>
      <c r="P176" s="4"/>
    </row>
    <row r="177" spans="1:16" x14ac:dyDescent="0.25">
      <c r="A177" s="27"/>
      <c r="B177" s="28"/>
      <c r="C177" s="27"/>
      <c r="D177" s="27"/>
      <c r="E177" s="27"/>
      <c r="F177" s="27"/>
      <c r="G177" s="27"/>
      <c r="H177" s="27"/>
      <c r="I177" s="28"/>
      <c r="J177" s="27"/>
      <c r="K177" s="27"/>
      <c r="L177" s="27"/>
      <c r="M177" s="27"/>
      <c r="N177" s="28"/>
      <c r="O177" s="27"/>
      <c r="P177" s="4"/>
    </row>
    <row r="178" spans="1:16" x14ac:dyDescent="0.25">
      <c r="A178" s="27"/>
      <c r="B178" s="28"/>
      <c r="C178" s="27"/>
      <c r="D178" s="27"/>
      <c r="E178" s="27"/>
      <c r="F178" s="27"/>
      <c r="G178" s="27"/>
      <c r="H178" s="27"/>
      <c r="I178" s="28"/>
      <c r="J178" s="27"/>
      <c r="K178" s="27"/>
      <c r="L178" s="27"/>
      <c r="M178" s="27"/>
      <c r="N178" s="28"/>
      <c r="O178" s="27"/>
      <c r="P178" s="4"/>
    </row>
    <row r="179" spans="1:16" x14ac:dyDescent="0.25">
      <c r="A179" s="27"/>
      <c r="B179" s="28"/>
      <c r="C179" s="27"/>
      <c r="D179" s="27"/>
      <c r="E179" s="27"/>
      <c r="F179" s="27"/>
      <c r="G179" s="27"/>
      <c r="H179" s="27"/>
      <c r="I179" s="28"/>
      <c r="J179" s="27"/>
      <c r="K179" s="27"/>
      <c r="L179" s="27"/>
      <c r="M179" s="27"/>
      <c r="N179" s="28"/>
      <c r="O179" s="27"/>
      <c r="P179" s="4"/>
    </row>
    <row r="180" spans="1:16" x14ac:dyDescent="0.25">
      <c r="A180" s="27"/>
      <c r="B180" s="28"/>
      <c r="C180" s="27"/>
      <c r="D180" s="27"/>
      <c r="E180" s="27"/>
      <c r="F180" s="27"/>
      <c r="G180" s="27"/>
      <c r="H180" s="27"/>
      <c r="I180" s="28"/>
      <c r="J180" s="27"/>
      <c r="K180" s="27"/>
      <c r="L180" s="27"/>
      <c r="M180" s="27"/>
      <c r="N180" s="28"/>
      <c r="O180" s="27"/>
      <c r="P180" s="4"/>
    </row>
    <row r="181" spans="1:16" x14ac:dyDescent="0.25">
      <c r="A181" s="27"/>
      <c r="B181" s="28"/>
      <c r="C181" s="27"/>
      <c r="D181" s="27"/>
      <c r="E181" s="27"/>
      <c r="F181" s="27"/>
      <c r="G181" s="27"/>
      <c r="H181" s="27"/>
      <c r="I181" s="28"/>
      <c r="J181" s="27"/>
      <c r="K181" s="27"/>
      <c r="L181" s="27"/>
      <c r="M181" s="27"/>
      <c r="N181" s="28"/>
      <c r="O181" s="27"/>
      <c r="P181" s="4"/>
    </row>
    <row r="182" spans="1:16" x14ac:dyDescent="0.25">
      <c r="A182" s="27"/>
      <c r="B182" s="28"/>
      <c r="C182" s="27"/>
      <c r="D182" s="27"/>
      <c r="E182" s="27"/>
      <c r="F182" s="27"/>
      <c r="G182" s="27"/>
      <c r="H182" s="27"/>
      <c r="I182" s="28"/>
      <c r="J182" s="27"/>
      <c r="K182" s="27"/>
      <c r="L182" s="27"/>
      <c r="M182" s="27"/>
      <c r="N182" s="28"/>
      <c r="O182" s="27"/>
      <c r="P182" s="4"/>
    </row>
    <row r="183" spans="1:16" x14ac:dyDescent="0.25">
      <c r="A183" s="27"/>
      <c r="B183" s="28"/>
      <c r="C183" s="27"/>
      <c r="D183" s="27"/>
      <c r="E183" s="27"/>
      <c r="F183" s="27"/>
      <c r="G183" s="27"/>
      <c r="H183" s="27"/>
      <c r="I183" s="28"/>
      <c r="J183" s="27"/>
      <c r="K183" s="27"/>
      <c r="L183" s="27"/>
      <c r="M183" s="27"/>
      <c r="N183" s="28"/>
      <c r="O183" s="27"/>
      <c r="P183" s="4"/>
    </row>
    <row r="184" spans="1:16" x14ac:dyDescent="0.25">
      <c r="A184" s="27"/>
      <c r="B184" s="28"/>
      <c r="C184" s="27"/>
      <c r="D184" s="27"/>
      <c r="E184" s="27"/>
      <c r="F184" s="27"/>
      <c r="G184" s="27"/>
      <c r="H184" s="27"/>
      <c r="I184" s="28"/>
      <c r="J184" s="27"/>
      <c r="K184" s="27"/>
      <c r="L184" s="27"/>
      <c r="M184" s="27"/>
      <c r="N184" s="28"/>
      <c r="O184" s="27"/>
      <c r="P184" s="4"/>
    </row>
    <row r="185" spans="1:16" x14ac:dyDescent="0.25">
      <c r="A185" s="27"/>
      <c r="B185" s="28"/>
      <c r="C185" s="27"/>
      <c r="D185" s="27"/>
      <c r="E185" s="27"/>
      <c r="F185" s="27"/>
      <c r="G185" s="27"/>
      <c r="H185" s="27"/>
      <c r="I185" s="28"/>
      <c r="J185" s="27"/>
      <c r="K185" s="27"/>
      <c r="L185" s="27"/>
      <c r="M185" s="27"/>
      <c r="N185" s="28"/>
      <c r="O185" s="27"/>
      <c r="P185" s="4"/>
    </row>
    <row r="186" spans="1:16" x14ac:dyDescent="0.25">
      <c r="A186" s="27"/>
      <c r="B186" s="28"/>
      <c r="C186" s="27"/>
      <c r="D186" s="27"/>
      <c r="E186" s="27"/>
      <c r="F186" s="27"/>
      <c r="G186" s="27"/>
      <c r="H186" s="27"/>
      <c r="I186" s="28"/>
      <c r="J186" s="27"/>
      <c r="K186" s="27"/>
      <c r="L186" s="27"/>
      <c r="M186" s="27"/>
      <c r="N186" s="28"/>
      <c r="O186" s="27"/>
      <c r="P186" s="4"/>
    </row>
    <row r="187" spans="1:16" x14ac:dyDescent="0.25">
      <c r="A187" s="27"/>
      <c r="B187" s="28"/>
      <c r="C187" s="27"/>
      <c r="D187" s="27"/>
      <c r="E187" s="27"/>
      <c r="F187" s="27"/>
      <c r="G187" s="27"/>
      <c r="H187" s="27"/>
      <c r="I187" s="28"/>
      <c r="J187" s="27"/>
      <c r="K187" s="27"/>
      <c r="L187" s="27"/>
      <c r="M187" s="27"/>
      <c r="N187" s="28"/>
      <c r="O187" s="27"/>
      <c r="P187" s="4"/>
    </row>
    <row r="188" spans="1:16" x14ac:dyDescent="0.25">
      <c r="A188" s="27"/>
      <c r="B188" s="28"/>
      <c r="C188" s="27"/>
      <c r="D188" s="27"/>
      <c r="E188" s="27"/>
      <c r="F188" s="27"/>
      <c r="G188" s="27"/>
      <c r="H188" s="27"/>
      <c r="I188" s="28"/>
      <c r="J188" s="27"/>
      <c r="K188" s="27"/>
      <c r="L188" s="27"/>
      <c r="M188" s="27"/>
      <c r="N188" s="28"/>
      <c r="O188" s="27"/>
      <c r="P188" s="4"/>
    </row>
    <row r="189" spans="1:16" x14ac:dyDescent="0.25">
      <c r="A189" s="27"/>
      <c r="B189" s="28"/>
      <c r="C189" s="27"/>
      <c r="D189" s="27"/>
      <c r="E189" s="27"/>
      <c r="F189" s="27"/>
      <c r="G189" s="27"/>
      <c r="H189" s="27"/>
      <c r="I189" s="28"/>
      <c r="J189" s="27"/>
      <c r="K189" s="27"/>
      <c r="L189" s="27"/>
      <c r="M189" s="27"/>
      <c r="N189" s="28"/>
      <c r="O189" s="27"/>
      <c r="P189" s="4"/>
    </row>
    <row r="190" spans="1:16" x14ac:dyDescent="0.25">
      <c r="A190" s="27"/>
      <c r="B190" s="28"/>
      <c r="C190" s="27"/>
      <c r="D190" s="27"/>
      <c r="E190" s="27"/>
      <c r="F190" s="27"/>
      <c r="G190" s="27"/>
      <c r="H190" s="27"/>
      <c r="I190" s="28"/>
      <c r="J190" s="27"/>
      <c r="K190" s="27"/>
      <c r="L190" s="27"/>
      <c r="M190" s="27"/>
      <c r="N190" s="28"/>
      <c r="O190" s="27"/>
      <c r="P190" s="4"/>
    </row>
    <row r="191" spans="1:16" x14ac:dyDescent="0.25">
      <c r="A191" s="27"/>
      <c r="B191" s="28"/>
      <c r="C191" s="27"/>
      <c r="D191" s="27"/>
      <c r="E191" s="27"/>
      <c r="F191" s="27"/>
      <c r="G191" s="27"/>
      <c r="H191" s="27"/>
      <c r="I191" s="28"/>
      <c r="J191" s="27"/>
      <c r="K191" s="27"/>
      <c r="L191" s="27"/>
      <c r="M191" s="27"/>
      <c r="N191" s="28"/>
      <c r="O191" s="27"/>
      <c r="P191" s="4"/>
    </row>
    <row r="192" spans="1:16" x14ac:dyDescent="0.25">
      <c r="A192" s="27"/>
      <c r="B192" s="28"/>
      <c r="C192" s="27"/>
      <c r="D192" s="27"/>
      <c r="E192" s="27"/>
      <c r="F192" s="27"/>
      <c r="G192" s="27"/>
      <c r="H192" s="27"/>
      <c r="I192" s="28"/>
      <c r="J192" s="27"/>
      <c r="K192" s="27"/>
      <c r="L192" s="27"/>
      <c r="M192" s="27"/>
      <c r="N192" s="28"/>
      <c r="O192" s="27"/>
      <c r="P192" s="4"/>
    </row>
    <row r="193" spans="1:16" x14ac:dyDescent="0.25">
      <c r="A193" s="27"/>
      <c r="B193" s="28"/>
      <c r="C193" s="27"/>
      <c r="D193" s="27"/>
      <c r="E193" s="27"/>
      <c r="F193" s="27"/>
      <c r="G193" s="27"/>
      <c r="H193" s="27"/>
      <c r="I193" s="28"/>
      <c r="J193" s="27"/>
      <c r="K193" s="27"/>
      <c r="L193" s="27"/>
      <c r="M193" s="27"/>
      <c r="N193" s="28"/>
      <c r="O193" s="27"/>
      <c r="P193" s="4"/>
    </row>
    <row r="194" spans="1:16" x14ac:dyDescent="0.25">
      <c r="A194" s="27"/>
      <c r="B194" s="28"/>
      <c r="C194" s="27"/>
      <c r="D194" s="27"/>
      <c r="E194" s="27"/>
      <c r="F194" s="27"/>
      <c r="G194" s="27"/>
      <c r="H194" s="27"/>
      <c r="I194" s="28"/>
      <c r="J194" s="27"/>
      <c r="K194" s="27"/>
      <c r="L194" s="27"/>
      <c r="M194" s="27"/>
      <c r="N194" s="28"/>
      <c r="O194" s="27"/>
      <c r="P194" s="4"/>
    </row>
    <row r="195" spans="1:16" x14ac:dyDescent="0.25">
      <c r="A195" s="27"/>
      <c r="B195" s="28"/>
      <c r="C195" s="27"/>
      <c r="D195" s="27"/>
      <c r="E195" s="27"/>
      <c r="F195" s="27"/>
      <c r="G195" s="27"/>
      <c r="H195" s="27"/>
      <c r="I195" s="28"/>
      <c r="J195" s="27"/>
      <c r="K195" s="27"/>
      <c r="L195" s="27"/>
      <c r="M195" s="27"/>
      <c r="N195" s="28"/>
      <c r="O195" s="27"/>
      <c r="P195" s="4"/>
    </row>
    <row r="196" spans="1:16" x14ac:dyDescent="0.25">
      <c r="A196" s="27"/>
      <c r="B196" s="28"/>
      <c r="C196" s="27"/>
      <c r="D196" s="27"/>
      <c r="E196" s="27"/>
      <c r="F196" s="27"/>
      <c r="G196" s="27"/>
      <c r="H196" s="27"/>
      <c r="I196" s="28"/>
      <c r="J196" s="27"/>
      <c r="K196" s="27"/>
      <c r="L196" s="27"/>
      <c r="M196" s="27"/>
      <c r="N196" s="28"/>
      <c r="O196" s="27"/>
      <c r="P196" s="4"/>
    </row>
    <row r="197" spans="1:16" x14ac:dyDescent="0.25">
      <c r="A197" s="27"/>
      <c r="B197" s="28"/>
      <c r="C197" s="27"/>
      <c r="D197" s="27"/>
      <c r="E197" s="27"/>
      <c r="F197" s="27"/>
      <c r="G197" s="27"/>
      <c r="H197" s="27"/>
      <c r="I197" s="28"/>
      <c r="J197" s="27"/>
      <c r="K197" s="27"/>
      <c r="L197" s="27"/>
      <c r="M197" s="27"/>
      <c r="N197" s="28"/>
      <c r="O197" s="27"/>
      <c r="P197" s="4"/>
    </row>
    <row r="198" spans="1:16" x14ac:dyDescent="0.25">
      <c r="A198" s="27"/>
      <c r="B198" s="28"/>
      <c r="C198" s="27"/>
      <c r="D198" s="27"/>
      <c r="E198" s="27"/>
      <c r="F198" s="27"/>
      <c r="G198" s="27"/>
      <c r="H198" s="27"/>
      <c r="I198" s="28"/>
      <c r="J198" s="27"/>
      <c r="K198" s="27"/>
      <c r="L198" s="27"/>
      <c r="M198" s="27"/>
      <c r="N198" s="28"/>
      <c r="O198" s="27"/>
      <c r="P198" s="4"/>
    </row>
    <row r="199" spans="1:16" x14ac:dyDescent="0.25">
      <c r="A199" s="27"/>
      <c r="B199" s="28"/>
      <c r="C199" s="27"/>
      <c r="D199" s="27"/>
      <c r="E199" s="27"/>
      <c r="F199" s="27"/>
      <c r="G199" s="27"/>
      <c r="H199" s="27"/>
      <c r="I199" s="28"/>
      <c r="J199" s="27"/>
      <c r="K199" s="27"/>
      <c r="L199" s="27"/>
      <c r="M199" s="27"/>
      <c r="N199" s="28"/>
      <c r="O199" s="27"/>
      <c r="P199" s="4"/>
    </row>
    <row r="200" spans="1:16" x14ac:dyDescent="0.25">
      <c r="A200" s="27"/>
      <c r="B200" s="28"/>
      <c r="C200" s="27"/>
      <c r="D200" s="27"/>
      <c r="E200" s="27"/>
      <c r="F200" s="27"/>
      <c r="G200" s="27"/>
      <c r="H200" s="27"/>
      <c r="I200" s="28"/>
      <c r="J200" s="27"/>
      <c r="K200" s="27"/>
      <c r="L200" s="27"/>
      <c r="M200" s="27"/>
      <c r="N200" s="28"/>
      <c r="O200" s="27"/>
      <c r="P200" s="4"/>
    </row>
    <row r="201" spans="1:16" x14ac:dyDescent="0.25">
      <c r="B201" s="5"/>
      <c r="I201" s="5"/>
      <c r="N201" s="5"/>
    </row>
    <row r="202" spans="1:16" x14ac:dyDescent="0.25">
      <c r="B202" s="5"/>
      <c r="I202" s="5"/>
      <c r="N202" s="5"/>
    </row>
    <row r="203" spans="1:16" x14ac:dyDescent="0.25">
      <c r="B203" s="5"/>
      <c r="I203" s="5"/>
      <c r="N203" s="5"/>
    </row>
    <row r="204" spans="1:16" x14ac:dyDescent="0.25">
      <c r="B204" s="5"/>
      <c r="I204" s="5"/>
      <c r="N204" s="5"/>
    </row>
    <row r="205" spans="1:16" x14ac:dyDescent="0.25">
      <c r="B205" s="5"/>
      <c r="I205" s="5"/>
      <c r="N205" s="5"/>
    </row>
    <row r="206" spans="1:16" x14ac:dyDescent="0.25">
      <c r="B206" s="5"/>
      <c r="I206" s="5"/>
      <c r="N206" s="5"/>
    </row>
    <row r="207" spans="1:16" x14ac:dyDescent="0.25">
      <c r="B207" s="5"/>
      <c r="I207" s="5"/>
      <c r="N207" s="5"/>
    </row>
    <row r="208" spans="1:16" x14ac:dyDescent="0.25">
      <c r="B208" s="5"/>
      <c r="I208" s="5"/>
      <c r="N208" s="5"/>
    </row>
    <row r="209" spans="2:14" x14ac:dyDescent="0.25">
      <c r="B209" s="5"/>
      <c r="I209" s="5"/>
      <c r="N209" s="5"/>
    </row>
    <row r="210" spans="2:14" x14ac:dyDescent="0.25">
      <c r="B210" s="5"/>
      <c r="I210" s="5"/>
      <c r="N210" s="5"/>
    </row>
    <row r="211" spans="2:14" x14ac:dyDescent="0.25">
      <c r="B211" s="5"/>
      <c r="I211" s="5"/>
      <c r="N211" s="5"/>
    </row>
    <row r="212" spans="2:14" x14ac:dyDescent="0.25">
      <c r="B212" s="5"/>
      <c r="I212" s="5"/>
      <c r="N212" s="5"/>
    </row>
    <row r="213" spans="2:14" x14ac:dyDescent="0.25">
      <c r="B213" s="5"/>
      <c r="I213" s="5"/>
      <c r="N213" s="5"/>
    </row>
    <row r="214" spans="2:14" x14ac:dyDescent="0.25">
      <c r="B214" s="5"/>
      <c r="I214" s="5"/>
      <c r="N214" s="5"/>
    </row>
    <row r="215" spans="2:14" x14ac:dyDescent="0.25">
      <c r="B215" s="5"/>
      <c r="I215" s="5"/>
      <c r="N215" s="5"/>
    </row>
    <row r="216" spans="2:14" x14ac:dyDescent="0.25">
      <c r="B216" s="5"/>
      <c r="I216" s="5"/>
      <c r="N216" s="5"/>
    </row>
    <row r="217" spans="2:14" x14ac:dyDescent="0.25">
      <c r="B217" s="5"/>
      <c r="I217" s="5"/>
      <c r="N217" s="5"/>
    </row>
    <row r="218" spans="2:14" x14ac:dyDescent="0.25">
      <c r="B218" s="5"/>
      <c r="I218" s="5"/>
      <c r="N218" s="5"/>
    </row>
    <row r="219" spans="2:14" x14ac:dyDescent="0.25">
      <c r="B219" s="5"/>
      <c r="I219" s="5"/>
      <c r="N219" s="5"/>
    </row>
    <row r="220" spans="2:14" x14ac:dyDescent="0.25">
      <c r="B220" s="5"/>
      <c r="I220" s="5"/>
      <c r="N220" s="5"/>
    </row>
    <row r="221" spans="2:14" x14ac:dyDescent="0.25">
      <c r="B221" s="5"/>
      <c r="I221" s="5"/>
      <c r="N221" s="5"/>
    </row>
    <row r="222" spans="2:14" x14ac:dyDescent="0.25">
      <c r="B222" s="5"/>
      <c r="I222" s="5"/>
      <c r="N222" s="5"/>
    </row>
    <row r="223" spans="2:14" x14ac:dyDescent="0.25">
      <c r="B223" s="5"/>
      <c r="I223" s="5"/>
      <c r="N223" s="5"/>
    </row>
    <row r="224" spans="2:14" x14ac:dyDescent="0.25">
      <c r="B224" s="5"/>
      <c r="I224" s="5"/>
      <c r="N224" s="5"/>
    </row>
    <row r="225" spans="2:14" x14ac:dyDescent="0.25">
      <c r="B225" s="5"/>
      <c r="I225" s="5"/>
      <c r="N225" s="5"/>
    </row>
    <row r="226" spans="2:14" x14ac:dyDescent="0.25">
      <c r="B226" s="5"/>
      <c r="I226" s="5"/>
      <c r="N226" s="5"/>
    </row>
    <row r="227" spans="2:14" x14ac:dyDescent="0.25">
      <c r="B227" s="5"/>
      <c r="I227" s="5"/>
      <c r="N227" s="5"/>
    </row>
    <row r="228" spans="2:14" x14ac:dyDescent="0.25">
      <c r="B228" s="5"/>
      <c r="I228" s="5"/>
      <c r="N228" s="5"/>
    </row>
    <row r="229" spans="2:14" x14ac:dyDescent="0.25">
      <c r="B229" s="5"/>
      <c r="I229" s="5"/>
      <c r="N229" s="5"/>
    </row>
    <row r="230" spans="2:14" x14ac:dyDescent="0.25">
      <c r="B230" s="5"/>
      <c r="I230" s="5"/>
      <c r="N230" s="5"/>
    </row>
    <row r="231" spans="2:14" x14ac:dyDescent="0.25">
      <c r="B231" s="5"/>
      <c r="I231" s="5"/>
      <c r="N231" s="5"/>
    </row>
    <row r="232" spans="2:14" x14ac:dyDescent="0.25">
      <c r="B232" s="5"/>
      <c r="I232" s="5"/>
      <c r="N232" s="5"/>
    </row>
    <row r="233" spans="2:14" x14ac:dyDescent="0.25">
      <c r="B233" s="5"/>
      <c r="I233" s="5"/>
      <c r="N233" s="5"/>
    </row>
    <row r="234" spans="2:14" x14ac:dyDescent="0.25">
      <c r="B234" s="5"/>
      <c r="I234" s="5"/>
      <c r="N234" s="5"/>
    </row>
    <row r="235" spans="2:14" x14ac:dyDescent="0.25">
      <c r="B235" s="5"/>
      <c r="I235" s="5"/>
      <c r="N235" s="5"/>
    </row>
    <row r="236" spans="2:14" x14ac:dyDescent="0.25">
      <c r="B236" s="5"/>
      <c r="I236" s="5"/>
      <c r="N236" s="5"/>
    </row>
    <row r="237" spans="2:14" x14ac:dyDescent="0.25">
      <c r="B237" s="5"/>
      <c r="I237" s="5"/>
      <c r="N237" s="5"/>
    </row>
    <row r="238" spans="2:14" x14ac:dyDescent="0.25">
      <c r="B238" s="5"/>
      <c r="I238" s="5"/>
      <c r="N238" s="5"/>
    </row>
    <row r="239" spans="2:14" x14ac:dyDescent="0.25">
      <c r="B239" s="5"/>
      <c r="I239" s="5"/>
      <c r="N239" s="5"/>
    </row>
    <row r="240" spans="2:14" x14ac:dyDescent="0.25">
      <c r="B240" s="5"/>
      <c r="I240" s="5"/>
      <c r="N240" s="5"/>
    </row>
    <row r="241" spans="2:14" x14ac:dyDescent="0.25">
      <c r="B241" s="5"/>
      <c r="I241" s="5"/>
      <c r="N241" s="5"/>
    </row>
    <row r="242" spans="2:14" x14ac:dyDescent="0.25">
      <c r="B242" s="5"/>
      <c r="I242" s="5"/>
      <c r="N242" s="5"/>
    </row>
    <row r="243" spans="2:14" x14ac:dyDescent="0.25">
      <c r="B243" s="5"/>
      <c r="I243" s="5"/>
      <c r="N243" s="5"/>
    </row>
    <row r="244" spans="2:14" x14ac:dyDescent="0.25">
      <c r="B244" s="5"/>
      <c r="I244" s="5"/>
      <c r="N244" s="5"/>
    </row>
    <row r="245" spans="2:14" x14ac:dyDescent="0.25">
      <c r="B245" s="5"/>
      <c r="I245" s="5"/>
      <c r="N245" s="5"/>
    </row>
    <row r="246" spans="2:14" x14ac:dyDescent="0.25">
      <c r="B246" s="5"/>
      <c r="I246" s="5"/>
      <c r="N246" s="5"/>
    </row>
    <row r="247" spans="2:14" x14ac:dyDescent="0.25">
      <c r="B247" s="5"/>
      <c r="I247" s="5"/>
      <c r="N247" s="5"/>
    </row>
    <row r="248" spans="2:14" x14ac:dyDescent="0.25">
      <c r="B248" s="5"/>
      <c r="I248" s="5"/>
      <c r="N248" s="5"/>
    </row>
    <row r="249" spans="2:14" x14ac:dyDescent="0.25">
      <c r="B249" s="5"/>
      <c r="I249" s="5"/>
      <c r="N249" s="5"/>
    </row>
    <row r="250" spans="2:14" x14ac:dyDescent="0.25">
      <c r="B250" s="5"/>
      <c r="I250" s="5"/>
      <c r="N250" s="5"/>
    </row>
    <row r="251" spans="2:14" x14ac:dyDescent="0.25">
      <c r="B251" s="5"/>
      <c r="I251" s="5"/>
      <c r="N251" s="5"/>
    </row>
    <row r="252" spans="2:14" x14ac:dyDescent="0.25">
      <c r="B252" s="5"/>
      <c r="I252" s="5"/>
      <c r="N252" s="5"/>
    </row>
    <row r="253" spans="2:14" x14ac:dyDescent="0.25">
      <c r="B253" s="5"/>
      <c r="I253" s="5"/>
      <c r="N253" s="5"/>
    </row>
    <row r="254" spans="2:14" x14ac:dyDescent="0.25">
      <c r="B254" s="5"/>
      <c r="I254" s="5"/>
      <c r="N254" s="5"/>
    </row>
    <row r="255" spans="2:14" x14ac:dyDescent="0.25">
      <c r="B255" s="5"/>
      <c r="I255" s="5"/>
      <c r="N255" s="5"/>
    </row>
    <row r="256" spans="2:14" x14ac:dyDescent="0.25">
      <c r="B256" s="5"/>
      <c r="I256" s="5"/>
      <c r="N256" s="5"/>
    </row>
    <row r="257" spans="2:14" x14ac:dyDescent="0.25">
      <c r="B257" s="5"/>
      <c r="I257" s="5"/>
      <c r="N257" s="5"/>
    </row>
    <row r="258" spans="2:14" x14ac:dyDescent="0.25">
      <c r="B258" s="5"/>
      <c r="I258" s="5"/>
      <c r="N258" s="5"/>
    </row>
    <row r="259" spans="2:14" x14ac:dyDescent="0.25">
      <c r="B259" s="5"/>
      <c r="I259" s="5"/>
      <c r="N259" s="5"/>
    </row>
    <row r="260" spans="2:14" x14ac:dyDescent="0.25">
      <c r="B260" s="5"/>
      <c r="I260" s="5"/>
      <c r="N260" s="5"/>
    </row>
    <row r="261" spans="2:14" x14ac:dyDescent="0.25">
      <c r="B261" s="5"/>
      <c r="I261" s="5"/>
      <c r="N261" s="5"/>
    </row>
    <row r="262" spans="2:14" x14ac:dyDescent="0.25">
      <c r="B262" s="5"/>
      <c r="I262" s="5"/>
      <c r="N262" s="5"/>
    </row>
    <row r="263" spans="2:14" x14ac:dyDescent="0.25">
      <c r="B263" s="5"/>
      <c r="I263" s="5"/>
      <c r="N263" s="5"/>
    </row>
    <row r="264" spans="2:14" x14ac:dyDescent="0.25">
      <c r="B264" s="5"/>
      <c r="I264" s="5"/>
      <c r="N264" s="5"/>
    </row>
    <row r="265" spans="2:14" x14ac:dyDescent="0.25">
      <c r="B265" s="5"/>
      <c r="I265" s="5"/>
      <c r="N265" s="5"/>
    </row>
    <row r="266" spans="2:14" x14ac:dyDescent="0.25">
      <c r="B266" s="5"/>
      <c r="I266" s="5"/>
      <c r="N266" s="5"/>
    </row>
    <row r="267" spans="2:14" x14ac:dyDescent="0.25">
      <c r="B267" s="5"/>
      <c r="I267" s="5"/>
      <c r="N267" s="5"/>
    </row>
    <row r="268" spans="2:14" x14ac:dyDescent="0.25">
      <c r="B268" s="5"/>
      <c r="I268" s="5"/>
      <c r="N268" s="5"/>
    </row>
    <row r="269" spans="2:14" x14ac:dyDescent="0.25">
      <c r="B269" s="5"/>
      <c r="I269" s="5"/>
      <c r="N269" s="5"/>
    </row>
    <row r="270" spans="2:14" x14ac:dyDescent="0.25">
      <c r="B270" s="5"/>
      <c r="I270" s="5"/>
      <c r="N270" s="5"/>
    </row>
    <row r="271" spans="2:14" x14ac:dyDescent="0.25">
      <c r="B271" s="5"/>
      <c r="I271" s="5"/>
      <c r="N271" s="5"/>
    </row>
    <row r="272" spans="2:14" x14ac:dyDescent="0.25">
      <c r="B272" s="5"/>
      <c r="I272" s="5"/>
      <c r="N272" s="5"/>
    </row>
    <row r="273" spans="2:14" x14ac:dyDescent="0.25">
      <c r="B273" s="5"/>
      <c r="I273" s="5"/>
      <c r="N273" s="5"/>
    </row>
    <row r="274" spans="2:14" x14ac:dyDescent="0.25">
      <c r="B274" s="5"/>
      <c r="I274" s="5"/>
      <c r="N274" s="5"/>
    </row>
    <row r="275" spans="2:14" x14ac:dyDescent="0.25">
      <c r="B275" s="5"/>
      <c r="I275" s="5"/>
      <c r="N275" s="5"/>
    </row>
    <row r="276" spans="2:14" x14ac:dyDescent="0.25">
      <c r="B276" s="5"/>
      <c r="I276" s="5"/>
      <c r="N276" s="5"/>
    </row>
    <row r="277" spans="2:14" x14ac:dyDescent="0.25">
      <c r="B277" s="5"/>
      <c r="I277" s="5"/>
      <c r="N277" s="5"/>
    </row>
    <row r="278" spans="2:14" x14ac:dyDescent="0.25">
      <c r="B278" s="5"/>
      <c r="I278" s="5"/>
      <c r="N278" s="5"/>
    </row>
    <row r="279" spans="2:14" x14ac:dyDescent="0.25">
      <c r="B279" s="5"/>
      <c r="I279" s="5"/>
      <c r="N279" s="5"/>
    </row>
    <row r="280" spans="2:14" x14ac:dyDescent="0.25">
      <c r="B280" s="5"/>
      <c r="I280" s="5"/>
      <c r="N280" s="5"/>
    </row>
    <row r="281" spans="2:14" x14ac:dyDescent="0.25">
      <c r="B281" s="5"/>
      <c r="I281" s="5"/>
      <c r="N281" s="5"/>
    </row>
    <row r="282" spans="2:14" x14ac:dyDescent="0.25">
      <c r="B282" s="5"/>
      <c r="I282" s="5"/>
      <c r="N282" s="5"/>
    </row>
    <row r="283" spans="2:14" x14ac:dyDescent="0.25">
      <c r="B283" s="5"/>
      <c r="I283" s="5"/>
      <c r="N283" s="5"/>
    </row>
    <row r="284" spans="2:14" x14ac:dyDescent="0.25">
      <c r="B284" s="5"/>
      <c r="I284" s="5"/>
      <c r="N284" s="5"/>
    </row>
    <row r="285" spans="2:14" x14ac:dyDescent="0.25">
      <c r="B285" s="5"/>
      <c r="I285" s="5"/>
      <c r="N285" s="5"/>
    </row>
    <row r="286" spans="2:14" x14ac:dyDescent="0.25">
      <c r="B286" s="5"/>
      <c r="I286" s="5"/>
      <c r="N286" s="5"/>
    </row>
    <row r="287" spans="2:14" x14ac:dyDescent="0.25">
      <c r="B287" s="5"/>
      <c r="I287" s="5"/>
      <c r="N287" s="5"/>
    </row>
    <row r="288" spans="2:14" x14ac:dyDescent="0.25">
      <c r="B288" s="5"/>
      <c r="I288" s="5"/>
      <c r="N288" s="5"/>
    </row>
    <row r="289" spans="2:14" x14ac:dyDescent="0.25">
      <c r="B289" s="5"/>
      <c r="I289" s="5"/>
      <c r="N289" s="5"/>
    </row>
    <row r="290" spans="2:14" x14ac:dyDescent="0.25">
      <c r="B290" s="5"/>
      <c r="I290" s="5"/>
      <c r="N290" s="5"/>
    </row>
    <row r="291" spans="2:14" x14ac:dyDescent="0.25">
      <c r="B291" s="5"/>
      <c r="I291" s="5"/>
      <c r="N291" s="5"/>
    </row>
    <row r="292" spans="2:14" x14ac:dyDescent="0.25">
      <c r="B292" s="5"/>
      <c r="I292" s="5"/>
      <c r="N292" s="5"/>
    </row>
    <row r="293" spans="2:14" x14ac:dyDescent="0.25">
      <c r="B293" s="5"/>
      <c r="I293" s="5"/>
      <c r="N293" s="5"/>
    </row>
    <row r="294" spans="2:14" x14ac:dyDescent="0.25">
      <c r="B294" s="5"/>
      <c r="I294" s="5"/>
      <c r="N294" s="5"/>
    </row>
    <row r="295" spans="2:14" x14ac:dyDescent="0.25">
      <c r="B295" s="5"/>
      <c r="I295" s="5"/>
      <c r="N295" s="5"/>
    </row>
    <row r="296" spans="2:14" x14ac:dyDescent="0.25">
      <c r="B296" s="5"/>
      <c r="I296" s="5"/>
      <c r="N296" s="5"/>
    </row>
    <row r="297" spans="2:14" x14ac:dyDescent="0.25">
      <c r="B297" s="5"/>
      <c r="I297" s="5"/>
      <c r="N297" s="5"/>
    </row>
    <row r="298" spans="2:14" x14ac:dyDescent="0.25">
      <c r="B298" s="5"/>
      <c r="I298" s="5"/>
      <c r="N298" s="5"/>
    </row>
    <row r="299" spans="2:14" x14ac:dyDescent="0.25">
      <c r="B299" s="5"/>
      <c r="I299" s="5"/>
      <c r="N299" s="5"/>
    </row>
    <row r="300" spans="2:14" x14ac:dyDescent="0.25">
      <c r="B300" s="5"/>
      <c r="I300" s="5"/>
      <c r="N300" s="5"/>
    </row>
  </sheetData>
  <mergeCells count="2">
    <mergeCell ref="A1:P1"/>
    <mergeCell ref="A2:P2"/>
  </mergeCells>
  <conditionalFormatting sqref="O6:O300">
    <cfRule type="containsText" dxfId="7" priority="1" operator="containsText" text="Open"/>
    <cfRule type="containsText" dxfId="6" priority="3" operator="containsText" text="Approved"/>
    <cfRule type="containsText" dxfId="5" priority="5" operator="containsText" text="In Progress"/>
    <cfRule type="containsText" dxfId="4" priority="6" operator="containsText" text="Draft"/>
  </conditionalFormatting>
  <dataValidations count="1">
    <dataValidation type="list" allowBlank="1" sqref="O6:O300" xr:uid="{00000000-0002-0000-0900-000000000000}">
      <formula1>"Open,Approved,Deferred,Rejected,Closed"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300"/>
  <sheetViews>
    <sheetView workbookViewId="0">
      <pane ySplit="3" topLeftCell="A4" activePane="bottomLeft" state="frozen"/>
      <selection pane="bottomLeft"/>
    </sheetView>
  </sheetViews>
  <sheetFormatPr defaultRowHeight="15" x14ac:dyDescent="0.25"/>
  <cols>
    <col min="1" max="1" width="10" style="1" customWidth="1"/>
    <col min="2" max="3" width="12" style="1" customWidth="1"/>
    <col min="4" max="4" width="18" style="1" customWidth="1"/>
    <col min="5" max="5" width="28" style="1" customWidth="1"/>
    <col min="6" max="6" width="22" style="1" customWidth="1"/>
    <col min="7" max="7" width="10" style="1" customWidth="1"/>
    <col min="8" max="8" width="24" style="1" customWidth="1"/>
    <col min="9" max="9" width="14" style="1" customWidth="1"/>
    <col min="10" max="10" width="11" style="1" customWidth="1"/>
    <col min="11" max="11" width="12" style="1" customWidth="1"/>
    <col min="12" max="12" width="24" style="1" customWidth="1"/>
  </cols>
  <sheetData>
    <row r="1" spans="1:52" ht="24" customHeight="1" x14ac:dyDescent="0.25">
      <c r="A1" s="59" t="s">
        <v>498</v>
      </c>
      <c r="B1" s="59"/>
      <c r="C1" s="59"/>
      <c r="D1" s="59"/>
      <c r="E1" s="59"/>
      <c r="F1" s="59"/>
      <c r="G1" s="59"/>
      <c r="H1" s="59"/>
      <c r="I1" s="59"/>
      <c r="J1" s="59"/>
      <c r="K1" s="59"/>
      <c r="L1" s="59"/>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ht="33.950000000000003" customHeight="1" x14ac:dyDescent="0.25">
      <c r="A2" s="56" t="s">
        <v>499</v>
      </c>
      <c r="B2" s="57"/>
      <c r="C2" s="57"/>
      <c r="D2" s="57"/>
      <c r="E2" s="57"/>
      <c r="F2" s="57"/>
      <c r="G2" s="57"/>
      <c r="H2" s="57"/>
      <c r="I2" s="57"/>
      <c r="J2" s="57"/>
      <c r="K2" s="57"/>
      <c r="L2" s="58"/>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ht="20.100000000000001" customHeight="1" x14ac:dyDescent="0.25">
      <c r="A3" s="24" t="s">
        <v>500</v>
      </c>
      <c r="B3" s="24"/>
      <c r="C3" s="24"/>
      <c r="D3" s="24"/>
      <c r="E3" s="25" t="s">
        <v>501</v>
      </c>
      <c r="F3" s="25"/>
      <c r="G3" s="25"/>
      <c r="H3" s="25"/>
      <c r="I3" s="26" t="s">
        <v>502</v>
      </c>
      <c r="J3" s="26"/>
      <c r="K3" s="26"/>
      <c r="L3" s="26"/>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ht="20.100000000000001" customHeight="1" x14ac:dyDescent="0.25">
      <c r="A4" s="49" t="s">
        <v>503</v>
      </c>
      <c r="B4" s="49" t="s">
        <v>504</v>
      </c>
      <c r="C4" s="49" t="s">
        <v>459</v>
      </c>
      <c r="D4" s="49" t="s">
        <v>505</v>
      </c>
      <c r="E4" s="49" t="s">
        <v>506</v>
      </c>
      <c r="F4" s="49" t="s">
        <v>507</v>
      </c>
      <c r="G4" s="49" t="s">
        <v>508</v>
      </c>
      <c r="H4" s="49" t="s">
        <v>509</v>
      </c>
      <c r="I4" s="49" t="s">
        <v>178</v>
      </c>
      <c r="J4" s="49" t="s">
        <v>66</v>
      </c>
      <c r="K4" s="49" t="s">
        <v>471</v>
      </c>
      <c r="L4" s="49" t="s">
        <v>67</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ht="48" customHeight="1" x14ac:dyDescent="0.25">
      <c r="A5" s="23" t="s">
        <v>510</v>
      </c>
      <c r="B5" s="23" t="s">
        <v>511</v>
      </c>
      <c r="C5" s="23" t="s">
        <v>512</v>
      </c>
      <c r="D5" s="23" t="s">
        <v>513</v>
      </c>
      <c r="E5" s="23" t="s">
        <v>514</v>
      </c>
      <c r="F5" s="23" t="s">
        <v>515</v>
      </c>
      <c r="G5" s="23" t="s">
        <v>516</v>
      </c>
      <c r="H5" s="23" t="s">
        <v>517</v>
      </c>
      <c r="I5" s="23" t="s">
        <v>518</v>
      </c>
      <c r="J5" s="23" t="s">
        <v>519</v>
      </c>
      <c r="K5" s="23" t="s">
        <v>520</v>
      </c>
      <c r="L5" s="23" t="s">
        <v>521</v>
      </c>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ht="67.5" x14ac:dyDescent="0.25">
      <c r="A6" s="27" t="s">
        <v>522</v>
      </c>
      <c r="B6" s="27" t="s">
        <v>523</v>
      </c>
      <c r="C6" s="28" t="s">
        <v>80</v>
      </c>
      <c r="D6" s="27" t="s">
        <v>81</v>
      </c>
      <c r="E6" s="27" t="s">
        <v>524</v>
      </c>
      <c r="F6" s="27" t="s">
        <v>525</v>
      </c>
      <c r="G6" s="27" t="s">
        <v>150</v>
      </c>
      <c r="H6" s="27" t="s">
        <v>526</v>
      </c>
      <c r="I6" s="27" t="s">
        <v>65</v>
      </c>
      <c r="J6" s="27" t="s">
        <v>496</v>
      </c>
      <c r="K6" s="28" t="s">
        <v>527</v>
      </c>
      <c r="L6" s="27" t="s">
        <v>528</v>
      </c>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ht="54" x14ac:dyDescent="0.25">
      <c r="A7" s="27" t="s">
        <v>529</v>
      </c>
      <c r="B7" s="27" t="s">
        <v>530</v>
      </c>
      <c r="C7" s="28" t="s">
        <v>80</v>
      </c>
      <c r="D7" s="27" t="s">
        <v>153</v>
      </c>
      <c r="E7" s="27" t="s">
        <v>531</v>
      </c>
      <c r="F7" s="27" t="s">
        <v>532</v>
      </c>
      <c r="G7" s="27" t="s">
        <v>168</v>
      </c>
      <c r="H7" s="27" t="s">
        <v>533</v>
      </c>
      <c r="I7" s="27" t="s">
        <v>189</v>
      </c>
      <c r="J7" s="27" t="s">
        <v>496</v>
      </c>
      <c r="K7" s="28" t="s">
        <v>534</v>
      </c>
      <c r="L7" s="27" t="s">
        <v>535</v>
      </c>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x14ac:dyDescent="0.25">
      <c r="A8" s="27"/>
      <c r="B8" s="27"/>
      <c r="C8" s="28"/>
      <c r="D8" s="27"/>
      <c r="E8" s="27"/>
      <c r="F8" s="27"/>
      <c r="G8" s="27"/>
      <c r="H8" s="27"/>
      <c r="I8" s="27"/>
      <c r="J8" s="27"/>
      <c r="K8" s="28"/>
      <c r="L8" s="27"/>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x14ac:dyDescent="0.25">
      <c r="A9" s="27"/>
      <c r="B9" s="27"/>
      <c r="C9" s="28"/>
      <c r="D9" s="27"/>
      <c r="E9" s="27"/>
      <c r="F9" s="27"/>
      <c r="G9" s="27"/>
      <c r="H9" s="27"/>
      <c r="I9" s="27"/>
      <c r="J9" s="27"/>
      <c r="K9" s="28"/>
      <c r="L9" s="27"/>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x14ac:dyDescent="0.25">
      <c r="A10" s="27"/>
      <c r="B10" s="27"/>
      <c r="C10" s="28"/>
      <c r="D10" s="27"/>
      <c r="E10" s="27"/>
      <c r="F10" s="27"/>
      <c r="G10" s="27"/>
      <c r="H10" s="27"/>
      <c r="I10" s="27"/>
      <c r="J10" s="27"/>
      <c r="K10" s="28"/>
      <c r="L10" s="27"/>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x14ac:dyDescent="0.25">
      <c r="A11" s="27"/>
      <c r="B11" s="27"/>
      <c r="C11" s="28"/>
      <c r="D11" s="27"/>
      <c r="E11" s="27"/>
      <c r="F11" s="27"/>
      <c r="G11" s="27"/>
      <c r="H11" s="27"/>
      <c r="I11" s="27"/>
      <c r="J11" s="27"/>
      <c r="K11" s="28"/>
      <c r="L11" s="27"/>
    </row>
    <row r="12" spans="1:52" x14ac:dyDescent="0.25">
      <c r="A12" s="27"/>
      <c r="B12" s="27"/>
      <c r="C12" s="28"/>
      <c r="D12" s="27"/>
      <c r="E12" s="27"/>
      <c r="F12" s="27"/>
      <c r="G12" s="27"/>
      <c r="H12" s="27"/>
      <c r="I12" s="27"/>
      <c r="J12" s="27"/>
      <c r="K12" s="28"/>
      <c r="L12" s="27"/>
    </row>
    <row r="13" spans="1:52" x14ac:dyDescent="0.25">
      <c r="A13" s="27"/>
      <c r="B13" s="27"/>
      <c r="C13" s="28"/>
      <c r="D13" s="27"/>
      <c r="E13" s="27"/>
      <c r="F13" s="27"/>
      <c r="G13" s="27"/>
      <c r="H13" s="27"/>
      <c r="I13" s="27"/>
      <c r="J13" s="27"/>
      <c r="K13" s="28"/>
      <c r="L13" s="27"/>
    </row>
    <row r="14" spans="1:52" x14ac:dyDescent="0.25">
      <c r="A14" s="27"/>
      <c r="B14" s="27"/>
      <c r="C14" s="28"/>
      <c r="D14" s="27"/>
      <c r="E14" s="27"/>
      <c r="F14" s="27"/>
      <c r="G14" s="27"/>
      <c r="H14" s="27"/>
      <c r="I14" s="27"/>
      <c r="J14" s="27"/>
      <c r="K14" s="28"/>
      <c r="L14" s="27"/>
    </row>
    <row r="15" spans="1:52" x14ac:dyDescent="0.25">
      <c r="A15" s="27"/>
      <c r="B15" s="27"/>
      <c r="C15" s="28"/>
      <c r="D15" s="27"/>
      <c r="E15" s="27"/>
      <c r="F15" s="27"/>
      <c r="G15" s="27"/>
      <c r="H15" s="27"/>
      <c r="I15" s="27"/>
      <c r="J15" s="27"/>
      <c r="K15" s="28"/>
      <c r="L15" s="27"/>
    </row>
    <row r="16" spans="1:52" x14ac:dyDescent="0.25">
      <c r="A16" s="27"/>
      <c r="B16" s="27"/>
      <c r="C16" s="28"/>
      <c r="D16" s="27"/>
      <c r="E16" s="27"/>
      <c r="F16" s="27"/>
      <c r="G16" s="27"/>
      <c r="H16" s="27"/>
      <c r="I16" s="27"/>
      <c r="J16" s="27"/>
      <c r="K16" s="28"/>
      <c r="L16" s="27"/>
    </row>
    <row r="17" spans="1:12" x14ac:dyDescent="0.25">
      <c r="A17" s="27"/>
      <c r="B17" s="27"/>
      <c r="C17" s="28"/>
      <c r="D17" s="27"/>
      <c r="E17" s="27"/>
      <c r="F17" s="27"/>
      <c r="G17" s="27"/>
      <c r="H17" s="27"/>
      <c r="I17" s="27"/>
      <c r="J17" s="27"/>
      <c r="K17" s="28"/>
      <c r="L17" s="27"/>
    </row>
    <row r="18" spans="1:12" x14ac:dyDescent="0.25">
      <c r="A18" s="27"/>
      <c r="B18" s="27"/>
      <c r="C18" s="28"/>
      <c r="D18" s="27"/>
      <c r="E18" s="27"/>
      <c r="F18" s="27"/>
      <c r="G18" s="27"/>
      <c r="H18" s="27"/>
      <c r="I18" s="27"/>
      <c r="J18" s="27"/>
      <c r="K18" s="28"/>
      <c r="L18" s="27"/>
    </row>
    <row r="19" spans="1:12" x14ac:dyDescent="0.25">
      <c r="A19" s="27"/>
      <c r="B19" s="27"/>
      <c r="C19" s="28"/>
      <c r="D19" s="27"/>
      <c r="E19" s="27"/>
      <c r="F19" s="27"/>
      <c r="G19" s="27"/>
      <c r="H19" s="27"/>
      <c r="I19" s="27"/>
      <c r="J19" s="27"/>
      <c r="K19" s="28"/>
      <c r="L19" s="27"/>
    </row>
    <row r="20" spans="1:12" x14ac:dyDescent="0.25">
      <c r="A20" s="27"/>
      <c r="B20" s="27"/>
      <c r="C20" s="28"/>
      <c r="D20" s="27"/>
      <c r="E20" s="27"/>
      <c r="F20" s="27"/>
      <c r="G20" s="27"/>
      <c r="H20" s="27"/>
      <c r="I20" s="27"/>
      <c r="J20" s="27"/>
      <c r="K20" s="28"/>
      <c r="L20" s="27"/>
    </row>
    <row r="21" spans="1:12" x14ac:dyDescent="0.25">
      <c r="A21" s="27"/>
      <c r="B21" s="27"/>
      <c r="C21" s="28"/>
      <c r="D21" s="27"/>
      <c r="E21" s="27"/>
      <c r="F21" s="27"/>
      <c r="G21" s="27"/>
      <c r="H21" s="27"/>
      <c r="I21" s="27"/>
      <c r="J21" s="27"/>
      <c r="K21" s="28"/>
      <c r="L21" s="27"/>
    </row>
    <row r="22" spans="1:12" x14ac:dyDescent="0.25">
      <c r="A22" s="27"/>
      <c r="B22" s="27"/>
      <c r="C22" s="28"/>
      <c r="D22" s="27"/>
      <c r="E22" s="27"/>
      <c r="F22" s="27"/>
      <c r="G22" s="27"/>
      <c r="H22" s="27"/>
      <c r="I22" s="27"/>
      <c r="J22" s="27"/>
      <c r="K22" s="28"/>
      <c r="L22" s="27"/>
    </row>
    <row r="23" spans="1:12" x14ac:dyDescent="0.25">
      <c r="A23" s="27"/>
      <c r="B23" s="27"/>
      <c r="C23" s="28"/>
      <c r="D23" s="27"/>
      <c r="E23" s="27"/>
      <c r="F23" s="27"/>
      <c r="G23" s="27"/>
      <c r="H23" s="27"/>
      <c r="I23" s="27"/>
      <c r="J23" s="27"/>
      <c r="K23" s="28"/>
      <c r="L23" s="27"/>
    </row>
    <row r="24" spans="1:12" x14ac:dyDescent="0.25">
      <c r="A24" s="27"/>
      <c r="B24" s="27"/>
      <c r="C24" s="28"/>
      <c r="D24" s="27"/>
      <c r="E24" s="27"/>
      <c r="F24" s="27"/>
      <c r="G24" s="27"/>
      <c r="H24" s="27"/>
      <c r="I24" s="27"/>
      <c r="J24" s="27"/>
      <c r="K24" s="28"/>
      <c r="L24" s="27"/>
    </row>
    <row r="25" spans="1:12" x14ac:dyDescent="0.25">
      <c r="A25" s="27"/>
      <c r="B25" s="27"/>
      <c r="C25" s="28"/>
      <c r="D25" s="27"/>
      <c r="E25" s="27"/>
      <c r="F25" s="27"/>
      <c r="G25" s="27"/>
      <c r="H25" s="27"/>
      <c r="I25" s="27"/>
      <c r="J25" s="27"/>
      <c r="K25" s="28"/>
      <c r="L25" s="27"/>
    </row>
    <row r="26" spans="1:12" x14ac:dyDescent="0.25">
      <c r="A26" s="27"/>
      <c r="B26" s="27"/>
      <c r="C26" s="28"/>
      <c r="D26" s="27"/>
      <c r="E26" s="27"/>
      <c r="F26" s="27"/>
      <c r="G26" s="27"/>
      <c r="H26" s="27"/>
      <c r="I26" s="27"/>
      <c r="J26" s="27"/>
      <c r="K26" s="28"/>
      <c r="L26" s="27"/>
    </row>
    <row r="27" spans="1:12" x14ac:dyDescent="0.25">
      <c r="A27" s="27"/>
      <c r="B27" s="27"/>
      <c r="C27" s="28"/>
      <c r="D27" s="27"/>
      <c r="E27" s="27"/>
      <c r="F27" s="27"/>
      <c r="G27" s="27"/>
      <c r="H27" s="27"/>
      <c r="I27" s="27"/>
      <c r="J27" s="27"/>
      <c r="K27" s="28"/>
      <c r="L27" s="27"/>
    </row>
    <row r="28" spans="1:12" x14ac:dyDescent="0.25">
      <c r="A28" s="27"/>
      <c r="B28" s="27"/>
      <c r="C28" s="28"/>
      <c r="D28" s="27"/>
      <c r="E28" s="27"/>
      <c r="F28" s="27"/>
      <c r="G28" s="27"/>
      <c r="H28" s="27"/>
      <c r="I28" s="27"/>
      <c r="J28" s="27"/>
      <c r="K28" s="28"/>
      <c r="L28" s="27"/>
    </row>
    <row r="29" spans="1:12" x14ac:dyDescent="0.25">
      <c r="A29" s="27"/>
      <c r="B29" s="27"/>
      <c r="C29" s="28"/>
      <c r="D29" s="27"/>
      <c r="E29" s="27"/>
      <c r="F29" s="27"/>
      <c r="G29" s="27"/>
      <c r="H29" s="27"/>
      <c r="I29" s="27"/>
      <c r="J29" s="27"/>
      <c r="K29" s="28"/>
      <c r="L29" s="27"/>
    </row>
    <row r="30" spans="1:12" x14ac:dyDescent="0.25">
      <c r="A30" s="27"/>
      <c r="B30" s="27"/>
      <c r="C30" s="28"/>
      <c r="D30" s="27"/>
      <c r="E30" s="27"/>
      <c r="F30" s="27"/>
      <c r="G30" s="27"/>
      <c r="H30" s="27"/>
      <c r="I30" s="27"/>
      <c r="J30" s="27"/>
      <c r="K30" s="28"/>
      <c r="L30" s="27"/>
    </row>
    <row r="31" spans="1:12" x14ac:dyDescent="0.25">
      <c r="A31" s="27"/>
      <c r="B31" s="27"/>
      <c r="C31" s="28"/>
      <c r="D31" s="27"/>
      <c r="E31" s="27"/>
      <c r="F31" s="27"/>
      <c r="G31" s="27"/>
      <c r="H31" s="27"/>
      <c r="I31" s="27"/>
      <c r="J31" s="27"/>
      <c r="K31" s="28"/>
      <c r="L31" s="27"/>
    </row>
    <row r="32" spans="1:12" x14ac:dyDescent="0.25">
      <c r="A32" s="27"/>
      <c r="B32" s="27"/>
      <c r="C32" s="28"/>
      <c r="D32" s="27"/>
      <c r="E32" s="27"/>
      <c r="F32" s="27"/>
      <c r="G32" s="27"/>
      <c r="H32" s="27"/>
      <c r="I32" s="27"/>
      <c r="J32" s="27"/>
      <c r="K32" s="28"/>
      <c r="L32" s="27"/>
    </row>
    <row r="33" spans="1:12" x14ac:dyDescent="0.25">
      <c r="A33" s="27"/>
      <c r="B33" s="27"/>
      <c r="C33" s="28"/>
      <c r="D33" s="27"/>
      <c r="E33" s="27"/>
      <c r="F33" s="27"/>
      <c r="G33" s="27"/>
      <c r="H33" s="27"/>
      <c r="I33" s="27"/>
      <c r="J33" s="27"/>
      <c r="K33" s="28"/>
      <c r="L33" s="27"/>
    </row>
    <row r="34" spans="1:12" x14ac:dyDescent="0.25">
      <c r="A34" s="27"/>
      <c r="B34" s="27"/>
      <c r="C34" s="28"/>
      <c r="D34" s="27"/>
      <c r="E34" s="27"/>
      <c r="F34" s="27"/>
      <c r="G34" s="27"/>
      <c r="H34" s="27"/>
      <c r="I34" s="27"/>
      <c r="J34" s="27"/>
      <c r="K34" s="28"/>
      <c r="L34" s="27"/>
    </row>
    <row r="35" spans="1:12" x14ac:dyDescent="0.25">
      <c r="A35" s="27"/>
      <c r="B35" s="27"/>
      <c r="C35" s="28"/>
      <c r="D35" s="27"/>
      <c r="E35" s="27"/>
      <c r="F35" s="27"/>
      <c r="G35" s="27"/>
      <c r="H35" s="27"/>
      <c r="I35" s="27"/>
      <c r="J35" s="27"/>
      <c r="K35" s="28"/>
      <c r="L35" s="27"/>
    </row>
    <row r="36" spans="1:12" x14ac:dyDescent="0.25">
      <c r="A36" s="27"/>
      <c r="B36" s="27"/>
      <c r="C36" s="28"/>
      <c r="D36" s="27"/>
      <c r="E36" s="27"/>
      <c r="F36" s="27"/>
      <c r="G36" s="27"/>
      <c r="H36" s="27"/>
      <c r="I36" s="27"/>
      <c r="J36" s="27"/>
      <c r="K36" s="28"/>
      <c r="L36" s="27"/>
    </row>
    <row r="37" spans="1:12" x14ac:dyDescent="0.25">
      <c r="A37" s="27"/>
      <c r="B37" s="27"/>
      <c r="C37" s="28"/>
      <c r="D37" s="27"/>
      <c r="E37" s="27"/>
      <c r="F37" s="27"/>
      <c r="G37" s="27"/>
      <c r="H37" s="27"/>
      <c r="I37" s="27"/>
      <c r="J37" s="27"/>
      <c r="K37" s="28"/>
      <c r="L37" s="27"/>
    </row>
    <row r="38" spans="1:12" x14ac:dyDescent="0.25">
      <c r="A38" s="27"/>
      <c r="B38" s="27"/>
      <c r="C38" s="28"/>
      <c r="D38" s="27"/>
      <c r="E38" s="27"/>
      <c r="F38" s="27"/>
      <c r="G38" s="27"/>
      <c r="H38" s="27"/>
      <c r="I38" s="27"/>
      <c r="J38" s="27"/>
      <c r="K38" s="28"/>
      <c r="L38" s="27"/>
    </row>
    <row r="39" spans="1:12" x14ac:dyDescent="0.25">
      <c r="A39" s="27"/>
      <c r="B39" s="27"/>
      <c r="C39" s="28"/>
      <c r="D39" s="27"/>
      <c r="E39" s="27"/>
      <c r="F39" s="27"/>
      <c r="G39" s="27"/>
      <c r="H39" s="27"/>
      <c r="I39" s="27"/>
      <c r="J39" s="27"/>
      <c r="K39" s="28"/>
      <c r="L39" s="27"/>
    </row>
    <row r="40" spans="1:12" x14ac:dyDescent="0.25">
      <c r="A40" s="27"/>
      <c r="B40" s="27"/>
      <c r="C40" s="28"/>
      <c r="D40" s="27"/>
      <c r="E40" s="27"/>
      <c r="F40" s="27"/>
      <c r="G40" s="27"/>
      <c r="H40" s="27"/>
      <c r="I40" s="27"/>
      <c r="J40" s="27"/>
      <c r="K40" s="28"/>
      <c r="L40" s="27"/>
    </row>
    <row r="41" spans="1:12" x14ac:dyDescent="0.25">
      <c r="A41" s="27"/>
      <c r="B41" s="27"/>
      <c r="C41" s="28"/>
      <c r="D41" s="27"/>
      <c r="E41" s="27"/>
      <c r="F41" s="27"/>
      <c r="G41" s="27"/>
      <c r="H41" s="27"/>
      <c r="I41" s="27"/>
      <c r="J41" s="27"/>
      <c r="K41" s="28"/>
      <c r="L41" s="27"/>
    </row>
    <row r="42" spans="1:12" x14ac:dyDescent="0.25">
      <c r="A42" s="27"/>
      <c r="B42" s="27"/>
      <c r="C42" s="28"/>
      <c r="D42" s="27"/>
      <c r="E42" s="27"/>
      <c r="F42" s="27"/>
      <c r="G42" s="27"/>
      <c r="H42" s="27"/>
      <c r="I42" s="27"/>
      <c r="J42" s="27"/>
      <c r="K42" s="28"/>
      <c r="L42" s="27"/>
    </row>
    <row r="43" spans="1:12" x14ac:dyDescent="0.25">
      <c r="A43" s="27"/>
      <c r="B43" s="27"/>
      <c r="C43" s="28"/>
      <c r="D43" s="27"/>
      <c r="E43" s="27"/>
      <c r="F43" s="27"/>
      <c r="G43" s="27"/>
      <c r="H43" s="27"/>
      <c r="I43" s="27"/>
      <c r="J43" s="27"/>
      <c r="K43" s="28"/>
      <c r="L43" s="27"/>
    </row>
    <row r="44" spans="1:12" x14ac:dyDescent="0.25">
      <c r="A44" s="27"/>
      <c r="B44" s="27"/>
      <c r="C44" s="28"/>
      <c r="D44" s="27"/>
      <c r="E44" s="27"/>
      <c r="F44" s="27"/>
      <c r="G44" s="27"/>
      <c r="H44" s="27"/>
      <c r="I44" s="27"/>
      <c r="J44" s="27"/>
      <c r="K44" s="28"/>
      <c r="L44" s="27"/>
    </row>
    <row r="45" spans="1:12" x14ac:dyDescent="0.25">
      <c r="A45" s="27"/>
      <c r="B45" s="27"/>
      <c r="C45" s="28"/>
      <c r="D45" s="27"/>
      <c r="E45" s="27"/>
      <c r="F45" s="27"/>
      <c r="G45" s="27"/>
      <c r="H45" s="27"/>
      <c r="I45" s="27"/>
      <c r="J45" s="27"/>
      <c r="K45" s="28"/>
      <c r="L45" s="27"/>
    </row>
    <row r="46" spans="1:12" x14ac:dyDescent="0.25">
      <c r="A46" s="27"/>
      <c r="B46" s="27"/>
      <c r="C46" s="28"/>
      <c r="D46" s="27"/>
      <c r="E46" s="27"/>
      <c r="F46" s="27"/>
      <c r="G46" s="27"/>
      <c r="H46" s="27"/>
      <c r="I46" s="27"/>
      <c r="J46" s="27"/>
      <c r="K46" s="28"/>
      <c r="L46" s="27"/>
    </row>
    <row r="47" spans="1:12" x14ac:dyDescent="0.25">
      <c r="A47" s="27"/>
      <c r="B47" s="27"/>
      <c r="C47" s="28"/>
      <c r="D47" s="27"/>
      <c r="E47" s="27"/>
      <c r="F47" s="27"/>
      <c r="G47" s="27"/>
      <c r="H47" s="27"/>
      <c r="I47" s="27"/>
      <c r="J47" s="27"/>
      <c r="K47" s="28"/>
      <c r="L47" s="27"/>
    </row>
    <row r="48" spans="1:12" x14ac:dyDescent="0.25">
      <c r="A48" s="27"/>
      <c r="B48" s="27"/>
      <c r="C48" s="28"/>
      <c r="D48" s="27"/>
      <c r="E48" s="27"/>
      <c r="F48" s="27"/>
      <c r="G48" s="27"/>
      <c r="H48" s="27"/>
      <c r="I48" s="27"/>
      <c r="J48" s="27"/>
      <c r="K48" s="28"/>
      <c r="L48" s="27"/>
    </row>
    <row r="49" spans="1:12" x14ac:dyDescent="0.25">
      <c r="A49" s="27"/>
      <c r="B49" s="27"/>
      <c r="C49" s="28"/>
      <c r="D49" s="27"/>
      <c r="E49" s="27"/>
      <c r="F49" s="27"/>
      <c r="G49" s="27"/>
      <c r="H49" s="27"/>
      <c r="I49" s="27"/>
      <c r="J49" s="27"/>
      <c r="K49" s="28"/>
      <c r="L49" s="27"/>
    </row>
    <row r="50" spans="1:12" x14ac:dyDescent="0.25">
      <c r="A50" s="27"/>
      <c r="B50" s="27"/>
      <c r="C50" s="28"/>
      <c r="D50" s="27"/>
      <c r="E50" s="27"/>
      <c r="F50" s="27"/>
      <c r="G50" s="27"/>
      <c r="H50" s="27"/>
      <c r="I50" s="27"/>
      <c r="J50" s="27"/>
      <c r="K50" s="28"/>
      <c r="L50" s="27"/>
    </row>
    <row r="51" spans="1:12" x14ac:dyDescent="0.25">
      <c r="A51" s="27"/>
      <c r="B51" s="27"/>
      <c r="C51" s="28"/>
      <c r="D51" s="27"/>
      <c r="E51" s="27"/>
      <c r="F51" s="27"/>
      <c r="G51" s="27"/>
      <c r="H51" s="27"/>
      <c r="I51" s="27"/>
      <c r="J51" s="27"/>
      <c r="K51" s="28"/>
      <c r="L51" s="27"/>
    </row>
    <row r="52" spans="1:12" x14ac:dyDescent="0.25">
      <c r="A52" s="27"/>
      <c r="B52" s="27"/>
      <c r="C52" s="28"/>
      <c r="D52" s="27"/>
      <c r="E52" s="27"/>
      <c r="F52" s="27"/>
      <c r="G52" s="27"/>
      <c r="H52" s="27"/>
      <c r="I52" s="27"/>
      <c r="J52" s="27"/>
      <c r="K52" s="28"/>
      <c r="L52" s="27"/>
    </row>
    <row r="53" spans="1:12" x14ac:dyDescent="0.25">
      <c r="A53" s="27"/>
      <c r="B53" s="27"/>
      <c r="C53" s="28"/>
      <c r="D53" s="27"/>
      <c r="E53" s="27"/>
      <c r="F53" s="27"/>
      <c r="G53" s="27"/>
      <c r="H53" s="27"/>
      <c r="I53" s="27"/>
      <c r="J53" s="27"/>
      <c r="K53" s="28"/>
      <c r="L53" s="27"/>
    </row>
    <row r="54" spans="1:12" x14ac:dyDescent="0.25">
      <c r="A54" s="27"/>
      <c r="B54" s="27"/>
      <c r="C54" s="28"/>
      <c r="D54" s="27"/>
      <c r="E54" s="27"/>
      <c r="F54" s="27"/>
      <c r="G54" s="27"/>
      <c r="H54" s="27"/>
      <c r="I54" s="27"/>
      <c r="J54" s="27"/>
      <c r="K54" s="28"/>
      <c r="L54" s="27"/>
    </row>
    <row r="55" spans="1:12" x14ac:dyDescent="0.25">
      <c r="A55" s="27"/>
      <c r="B55" s="27"/>
      <c r="C55" s="28"/>
      <c r="D55" s="27"/>
      <c r="E55" s="27"/>
      <c r="F55" s="27"/>
      <c r="G55" s="27"/>
      <c r="H55" s="27"/>
      <c r="I55" s="27"/>
      <c r="J55" s="27"/>
      <c r="K55" s="28"/>
      <c r="L55" s="27"/>
    </row>
    <row r="56" spans="1:12" x14ac:dyDescent="0.25">
      <c r="A56" s="27"/>
      <c r="B56" s="27"/>
      <c r="C56" s="28"/>
      <c r="D56" s="27"/>
      <c r="E56" s="27"/>
      <c r="F56" s="27"/>
      <c r="G56" s="27"/>
      <c r="H56" s="27"/>
      <c r="I56" s="27"/>
      <c r="J56" s="27"/>
      <c r="K56" s="28"/>
      <c r="L56" s="27"/>
    </row>
    <row r="57" spans="1:12" x14ac:dyDescent="0.25">
      <c r="A57" s="27"/>
      <c r="B57" s="27"/>
      <c r="C57" s="28"/>
      <c r="D57" s="27"/>
      <c r="E57" s="27"/>
      <c r="F57" s="27"/>
      <c r="G57" s="27"/>
      <c r="H57" s="27"/>
      <c r="I57" s="27"/>
      <c r="J57" s="27"/>
      <c r="K57" s="28"/>
      <c r="L57" s="27"/>
    </row>
    <row r="58" spans="1:12" x14ac:dyDescent="0.25">
      <c r="A58" s="27"/>
      <c r="B58" s="27"/>
      <c r="C58" s="28"/>
      <c r="D58" s="27"/>
      <c r="E58" s="27"/>
      <c r="F58" s="27"/>
      <c r="G58" s="27"/>
      <c r="H58" s="27"/>
      <c r="I58" s="27"/>
      <c r="J58" s="27"/>
      <c r="K58" s="28"/>
      <c r="L58" s="27"/>
    </row>
    <row r="59" spans="1:12" x14ac:dyDescent="0.25">
      <c r="A59" s="27"/>
      <c r="B59" s="27"/>
      <c r="C59" s="28"/>
      <c r="D59" s="27"/>
      <c r="E59" s="27"/>
      <c r="F59" s="27"/>
      <c r="G59" s="27"/>
      <c r="H59" s="27"/>
      <c r="I59" s="27"/>
      <c r="J59" s="27"/>
      <c r="K59" s="28"/>
      <c r="L59" s="27"/>
    </row>
    <row r="60" spans="1:12" x14ac:dyDescent="0.25">
      <c r="A60" s="27"/>
      <c r="B60" s="27"/>
      <c r="C60" s="28"/>
      <c r="D60" s="27"/>
      <c r="E60" s="27"/>
      <c r="F60" s="27"/>
      <c r="G60" s="27"/>
      <c r="H60" s="27"/>
      <c r="I60" s="27"/>
      <c r="J60" s="27"/>
      <c r="K60" s="28"/>
      <c r="L60" s="27"/>
    </row>
    <row r="61" spans="1:12" x14ac:dyDescent="0.25">
      <c r="A61" s="27"/>
      <c r="B61" s="27"/>
      <c r="C61" s="28"/>
      <c r="D61" s="27"/>
      <c r="E61" s="27"/>
      <c r="F61" s="27"/>
      <c r="G61" s="27"/>
      <c r="H61" s="27"/>
      <c r="I61" s="27"/>
      <c r="J61" s="27"/>
      <c r="K61" s="28"/>
      <c r="L61" s="27"/>
    </row>
    <row r="62" spans="1:12" x14ac:dyDescent="0.25">
      <c r="A62" s="27"/>
      <c r="B62" s="27"/>
      <c r="C62" s="28"/>
      <c r="D62" s="27"/>
      <c r="E62" s="27"/>
      <c r="F62" s="27"/>
      <c r="G62" s="27"/>
      <c r="H62" s="27"/>
      <c r="I62" s="27"/>
      <c r="J62" s="27"/>
      <c r="K62" s="28"/>
      <c r="L62" s="27"/>
    </row>
    <row r="63" spans="1:12" x14ac:dyDescent="0.25">
      <c r="A63" s="27"/>
      <c r="B63" s="27"/>
      <c r="C63" s="28"/>
      <c r="D63" s="27"/>
      <c r="E63" s="27"/>
      <c r="F63" s="27"/>
      <c r="G63" s="27"/>
      <c r="H63" s="27"/>
      <c r="I63" s="27"/>
      <c r="J63" s="27"/>
      <c r="K63" s="28"/>
      <c r="L63" s="27"/>
    </row>
    <row r="64" spans="1:12" x14ac:dyDescent="0.25">
      <c r="A64" s="27"/>
      <c r="B64" s="27"/>
      <c r="C64" s="28"/>
      <c r="D64" s="27"/>
      <c r="E64" s="27"/>
      <c r="F64" s="27"/>
      <c r="G64" s="27"/>
      <c r="H64" s="27"/>
      <c r="I64" s="27"/>
      <c r="J64" s="27"/>
      <c r="K64" s="28"/>
      <c r="L64" s="27"/>
    </row>
    <row r="65" spans="1:12" x14ac:dyDescent="0.25">
      <c r="A65" s="27"/>
      <c r="B65" s="27"/>
      <c r="C65" s="28"/>
      <c r="D65" s="27"/>
      <c r="E65" s="27"/>
      <c r="F65" s="27"/>
      <c r="G65" s="27"/>
      <c r="H65" s="27"/>
      <c r="I65" s="27"/>
      <c r="J65" s="27"/>
      <c r="K65" s="28"/>
      <c r="L65" s="27"/>
    </row>
    <row r="66" spans="1:12" x14ac:dyDescent="0.25">
      <c r="A66" s="27"/>
      <c r="B66" s="27"/>
      <c r="C66" s="28"/>
      <c r="D66" s="27"/>
      <c r="E66" s="27"/>
      <c r="F66" s="27"/>
      <c r="G66" s="27"/>
      <c r="H66" s="27"/>
      <c r="I66" s="27"/>
      <c r="J66" s="27"/>
      <c r="K66" s="28"/>
      <c r="L66" s="27"/>
    </row>
    <row r="67" spans="1:12" x14ac:dyDescent="0.25">
      <c r="A67" s="27"/>
      <c r="B67" s="27"/>
      <c r="C67" s="28"/>
      <c r="D67" s="27"/>
      <c r="E67" s="27"/>
      <c r="F67" s="27"/>
      <c r="G67" s="27"/>
      <c r="H67" s="27"/>
      <c r="I67" s="27"/>
      <c r="J67" s="27"/>
      <c r="K67" s="28"/>
      <c r="L67" s="27"/>
    </row>
    <row r="68" spans="1:12" x14ac:dyDescent="0.25">
      <c r="A68" s="27"/>
      <c r="B68" s="27"/>
      <c r="C68" s="28"/>
      <c r="D68" s="27"/>
      <c r="E68" s="27"/>
      <c r="F68" s="27"/>
      <c r="G68" s="27"/>
      <c r="H68" s="27"/>
      <c r="I68" s="27"/>
      <c r="J68" s="27"/>
      <c r="K68" s="28"/>
      <c r="L68" s="27"/>
    </row>
    <row r="69" spans="1:12" x14ac:dyDescent="0.25">
      <c r="A69" s="27"/>
      <c r="B69" s="27"/>
      <c r="C69" s="28"/>
      <c r="D69" s="27"/>
      <c r="E69" s="27"/>
      <c r="F69" s="27"/>
      <c r="G69" s="27"/>
      <c r="H69" s="27"/>
      <c r="I69" s="27"/>
      <c r="J69" s="27"/>
      <c r="K69" s="28"/>
      <c r="L69" s="27"/>
    </row>
    <row r="70" spans="1:12" x14ac:dyDescent="0.25">
      <c r="A70" s="27"/>
      <c r="B70" s="27"/>
      <c r="C70" s="28"/>
      <c r="D70" s="27"/>
      <c r="E70" s="27"/>
      <c r="F70" s="27"/>
      <c r="G70" s="27"/>
      <c r="H70" s="27"/>
      <c r="I70" s="27"/>
      <c r="J70" s="27"/>
      <c r="K70" s="28"/>
      <c r="L70" s="27"/>
    </row>
    <row r="71" spans="1:12" x14ac:dyDescent="0.25">
      <c r="A71" s="27"/>
      <c r="B71" s="27"/>
      <c r="C71" s="28"/>
      <c r="D71" s="27"/>
      <c r="E71" s="27"/>
      <c r="F71" s="27"/>
      <c r="G71" s="27"/>
      <c r="H71" s="27"/>
      <c r="I71" s="27"/>
      <c r="J71" s="27"/>
      <c r="K71" s="28"/>
      <c r="L71" s="27"/>
    </row>
    <row r="72" spans="1:12" x14ac:dyDescent="0.25">
      <c r="A72" s="27"/>
      <c r="B72" s="27"/>
      <c r="C72" s="28"/>
      <c r="D72" s="27"/>
      <c r="E72" s="27"/>
      <c r="F72" s="27"/>
      <c r="G72" s="27"/>
      <c r="H72" s="27"/>
      <c r="I72" s="27"/>
      <c r="J72" s="27"/>
      <c r="K72" s="28"/>
      <c r="L72" s="27"/>
    </row>
    <row r="73" spans="1:12" x14ac:dyDescent="0.25">
      <c r="A73" s="27"/>
      <c r="B73" s="27"/>
      <c r="C73" s="28"/>
      <c r="D73" s="27"/>
      <c r="E73" s="27"/>
      <c r="F73" s="27"/>
      <c r="G73" s="27"/>
      <c r="H73" s="27"/>
      <c r="I73" s="27"/>
      <c r="J73" s="27"/>
      <c r="K73" s="28"/>
      <c r="L73" s="27"/>
    </row>
    <row r="74" spans="1:12" x14ac:dyDescent="0.25">
      <c r="A74" s="27"/>
      <c r="B74" s="27"/>
      <c r="C74" s="28"/>
      <c r="D74" s="27"/>
      <c r="E74" s="27"/>
      <c r="F74" s="27"/>
      <c r="G74" s="27"/>
      <c r="H74" s="27"/>
      <c r="I74" s="27"/>
      <c r="J74" s="27"/>
      <c r="K74" s="28"/>
      <c r="L74" s="27"/>
    </row>
    <row r="75" spans="1:12" x14ac:dyDescent="0.25">
      <c r="A75" s="27"/>
      <c r="B75" s="27"/>
      <c r="C75" s="28"/>
      <c r="D75" s="27"/>
      <c r="E75" s="27"/>
      <c r="F75" s="27"/>
      <c r="G75" s="27"/>
      <c r="H75" s="27"/>
      <c r="I75" s="27"/>
      <c r="J75" s="27"/>
      <c r="K75" s="28"/>
      <c r="L75" s="27"/>
    </row>
    <row r="76" spans="1:12" x14ac:dyDescent="0.25">
      <c r="A76" s="27"/>
      <c r="B76" s="27"/>
      <c r="C76" s="28"/>
      <c r="D76" s="27"/>
      <c r="E76" s="27"/>
      <c r="F76" s="27"/>
      <c r="G76" s="27"/>
      <c r="H76" s="27"/>
      <c r="I76" s="27"/>
      <c r="J76" s="27"/>
      <c r="K76" s="28"/>
      <c r="L76" s="27"/>
    </row>
    <row r="77" spans="1:12" x14ac:dyDescent="0.25">
      <c r="A77" s="27"/>
      <c r="B77" s="27"/>
      <c r="C77" s="28"/>
      <c r="D77" s="27"/>
      <c r="E77" s="27"/>
      <c r="F77" s="27"/>
      <c r="G77" s="27"/>
      <c r="H77" s="27"/>
      <c r="I77" s="27"/>
      <c r="J77" s="27"/>
      <c r="K77" s="28"/>
      <c r="L77" s="27"/>
    </row>
    <row r="78" spans="1:12" x14ac:dyDescent="0.25">
      <c r="A78" s="27"/>
      <c r="B78" s="27"/>
      <c r="C78" s="28"/>
      <c r="D78" s="27"/>
      <c r="E78" s="27"/>
      <c r="F78" s="27"/>
      <c r="G78" s="27"/>
      <c r="H78" s="27"/>
      <c r="I78" s="27"/>
      <c r="J78" s="27"/>
      <c r="K78" s="28"/>
      <c r="L78" s="27"/>
    </row>
    <row r="79" spans="1:12" x14ac:dyDescent="0.25">
      <c r="A79" s="27"/>
      <c r="B79" s="27"/>
      <c r="C79" s="28"/>
      <c r="D79" s="27"/>
      <c r="E79" s="27"/>
      <c r="F79" s="27"/>
      <c r="G79" s="27"/>
      <c r="H79" s="27"/>
      <c r="I79" s="27"/>
      <c r="J79" s="27"/>
      <c r="K79" s="28"/>
      <c r="L79" s="27"/>
    </row>
    <row r="80" spans="1:12" x14ac:dyDescent="0.25">
      <c r="A80" s="27"/>
      <c r="B80" s="27"/>
      <c r="C80" s="28"/>
      <c r="D80" s="27"/>
      <c r="E80" s="27"/>
      <c r="F80" s="27"/>
      <c r="G80" s="27"/>
      <c r="H80" s="27"/>
      <c r="I80" s="27"/>
      <c r="J80" s="27"/>
      <c r="K80" s="28"/>
      <c r="L80" s="27"/>
    </row>
    <row r="81" spans="1:12" x14ac:dyDescent="0.25">
      <c r="A81" s="27"/>
      <c r="B81" s="27"/>
      <c r="C81" s="28"/>
      <c r="D81" s="27"/>
      <c r="E81" s="27"/>
      <c r="F81" s="27"/>
      <c r="G81" s="27"/>
      <c r="H81" s="27"/>
      <c r="I81" s="27"/>
      <c r="J81" s="27"/>
      <c r="K81" s="28"/>
      <c r="L81" s="27"/>
    </row>
    <row r="82" spans="1:12" x14ac:dyDescent="0.25">
      <c r="A82" s="27"/>
      <c r="B82" s="27"/>
      <c r="C82" s="28"/>
      <c r="D82" s="27"/>
      <c r="E82" s="27"/>
      <c r="F82" s="27"/>
      <c r="G82" s="27"/>
      <c r="H82" s="27"/>
      <c r="I82" s="27"/>
      <c r="J82" s="27"/>
      <c r="K82" s="28"/>
      <c r="L82" s="27"/>
    </row>
    <row r="83" spans="1:12" x14ac:dyDescent="0.25">
      <c r="A83" s="27"/>
      <c r="B83" s="27"/>
      <c r="C83" s="28"/>
      <c r="D83" s="27"/>
      <c r="E83" s="27"/>
      <c r="F83" s="27"/>
      <c r="G83" s="27"/>
      <c r="H83" s="27"/>
      <c r="I83" s="27"/>
      <c r="J83" s="27"/>
      <c r="K83" s="28"/>
      <c r="L83" s="27"/>
    </row>
    <row r="84" spans="1:12" x14ac:dyDescent="0.25">
      <c r="A84" s="27"/>
      <c r="B84" s="27"/>
      <c r="C84" s="28"/>
      <c r="D84" s="27"/>
      <c r="E84" s="27"/>
      <c r="F84" s="27"/>
      <c r="G84" s="27"/>
      <c r="H84" s="27"/>
      <c r="I84" s="27"/>
      <c r="J84" s="27"/>
      <c r="K84" s="28"/>
      <c r="L84" s="27"/>
    </row>
    <row r="85" spans="1:12" x14ac:dyDescent="0.25">
      <c r="A85" s="27"/>
      <c r="B85" s="27"/>
      <c r="C85" s="28"/>
      <c r="D85" s="27"/>
      <c r="E85" s="27"/>
      <c r="F85" s="27"/>
      <c r="G85" s="27"/>
      <c r="H85" s="27"/>
      <c r="I85" s="27"/>
      <c r="J85" s="27"/>
      <c r="K85" s="28"/>
      <c r="L85" s="27"/>
    </row>
    <row r="86" spans="1:12" x14ac:dyDescent="0.25">
      <c r="A86" s="27"/>
      <c r="B86" s="27"/>
      <c r="C86" s="28"/>
      <c r="D86" s="27"/>
      <c r="E86" s="27"/>
      <c r="F86" s="27"/>
      <c r="G86" s="27"/>
      <c r="H86" s="27"/>
      <c r="I86" s="27"/>
      <c r="J86" s="27"/>
      <c r="K86" s="28"/>
      <c r="L86" s="27"/>
    </row>
    <row r="87" spans="1:12" x14ac:dyDescent="0.25">
      <c r="A87" s="27"/>
      <c r="B87" s="27"/>
      <c r="C87" s="28"/>
      <c r="D87" s="27"/>
      <c r="E87" s="27"/>
      <c r="F87" s="27"/>
      <c r="G87" s="27"/>
      <c r="H87" s="27"/>
      <c r="I87" s="27"/>
      <c r="J87" s="27"/>
      <c r="K87" s="28"/>
      <c r="L87" s="27"/>
    </row>
    <row r="88" spans="1:12" x14ac:dyDescent="0.25">
      <c r="A88" s="27"/>
      <c r="B88" s="27"/>
      <c r="C88" s="28"/>
      <c r="D88" s="27"/>
      <c r="E88" s="27"/>
      <c r="F88" s="27"/>
      <c r="G88" s="27"/>
      <c r="H88" s="27"/>
      <c r="I88" s="27"/>
      <c r="J88" s="27"/>
      <c r="K88" s="28"/>
      <c r="L88" s="27"/>
    </row>
    <row r="89" spans="1:12" x14ac:dyDescent="0.25">
      <c r="A89" s="27"/>
      <c r="B89" s="27"/>
      <c r="C89" s="28"/>
      <c r="D89" s="27"/>
      <c r="E89" s="27"/>
      <c r="F89" s="27"/>
      <c r="G89" s="27"/>
      <c r="H89" s="27"/>
      <c r="I89" s="27"/>
      <c r="J89" s="27"/>
      <c r="K89" s="28"/>
      <c r="L89" s="27"/>
    </row>
    <row r="90" spans="1:12" x14ac:dyDescent="0.25">
      <c r="A90" s="27"/>
      <c r="B90" s="27"/>
      <c r="C90" s="28"/>
      <c r="D90" s="27"/>
      <c r="E90" s="27"/>
      <c r="F90" s="27"/>
      <c r="G90" s="27"/>
      <c r="H90" s="27"/>
      <c r="I90" s="27"/>
      <c r="J90" s="27"/>
      <c r="K90" s="28"/>
      <c r="L90" s="27"/>
    </row>
    <row r="91" spans="1:12" x14ac:dyDescent="0.25">
      <c r="A91" s="27"/>
      <c r="B91" s="27"/>
      <c r="C91" s="28"/>
      <c r="D91" s="27"/>
      <c r="E91" s="27"/>
      <c r="F91" s="27"/>
      <c r="G91" s="27"/>
      <c r="H91" s="27"/>
      <c r="I91" s="27"/>
      <c r="J91" s="27"/>
      <c r="K91" s="28"/>
      <c r="L91" s="27"/>
    </row>
    <row r="92" spans="1:12" x14ac:dyDescent="0.25">
      <c r="A92" s="27"/>
      <c r="B92" s="27"/>
      <c r="C92" s="28"/>
      <c r="D92" s="27"/>
      <c r="E92" s="27"/>
      <c r="F92" s="27"/>
      <c r="G92" s="27"/>
      <c r="H92" s="27"/>
      <c r="I92" s="27"/>
      <c r="J92" s="27"/>
      <c r="K92" s="28"/>
      <c r="L92" s="27"/>
    </row>
    <row r="93" spans="1:12" x14ac:dyDescent="0.25">
      <c r="A93" s="27"/>
      <c r="B93" s="27"/>
      <c r="C93" s="28"/>
      <c r="D93" s="27"/>
      <c r="E93" s="27"/>
      <c r="F93" s="27"/>
      <c r="G93" s="27"/>
      <c r="H93" s="27"/>
      <c r="I93" s="27"/>
      <c r="J93" s="27"/>
      <c r="K93" s="28"/>
      <c r="L93" s="27"/>
    </row>
    <row r="94" spans="1:12" x14ac:dyDescent="0.25">
      <c r="A94" s="27"/>
      <c r="B94" s="27"/>
      <c r="C94" s="28"/>
      <c r="D94" s="27"/>
      <c r="E94" s="27"/>
      <c r="F94" s="27"/>
      <c r="G94" s="27"/>
      <c r="H94" s="27"/>
      <c r="I94" s="27"/>
      <c r="J94" s="27"/>
      <c r="K94" s="28"/>
      <c r="L94" s="27"/>
    </row>
    <row r="95" spans="1:12" x14ac:dyDescent="0.25">
      <c r="A95" s="27"/>
      <c r="B95" s="27"/>
      <c r="C95" s="28"/>
      <c r="D95" s="27"/>
      <c r="E95" s="27"/>
      <c r="F95" s="27"/>
      <c r="G95" s="27"/>
      <c r="H95" s="27"/>
      <c r="I95" s="27"/>
      <c r="J95" s="27"/>
      <c r="K95" s="28"/>
      <c r="L95" s="27"/>
    </row>
    <row r="96" spans="1:12" x14ac:dyDescent="0.25">
      <c r="A96" s="27"/>
      <c r="B96" s="27"/>
      <c r="C96" s="28"/>
      <c r="D96" s="27"/>
      <c r="E96" s="27"/>
      <c r="F96" s="27"/>
      <c r="G96" s="27"/>
      <c r="H96" s="27"/>
      <c r="I96" s="27"/>
      <c r="J96" s="27"/>
      <c r="K96" s="28"/>
      <c r="L96" s="27"/>
    </row>
    <row r="97" spans="1:12" x14ac:dyDescent="0.25">
      <c r="A97" s="27"/>
      <c r="B97" s="27"/>
      <c r="C97" s="28"/>
      <c r="D97" s="27"/>
      <c r="E97" s="27"/>
      <c r="F97" s="27"/>
      <c r="G97" s="27"/>
      <c r="H97" s="27"/>
      <c r="I97" s="27"/>
      <c r="J97" s="27"/>
      <c r="K97" s="28"/>
      <c r="L97" s="27"/>
    </row>
    <row r="98" spans="1:12" x14ac:dyDescent="0.25">
      <c r="A98" s="27"/>
      <c r="B98" s="27"/>
      <c r="C98" s="28"/>
      <c r="D98" s="27"/>
      <c r="E98" s="27"/>
      <c r="F98" s="27"/>
      <c r="G98" s="27"/>
      <c r="H98" s="27"/>
      <c r="I98" s="27"/>
      <c r="J98" s="27"/>
      <c r="K98" s="28"/>
      <c r="L98" s="27"/>
    </row>
    <row r="99" spans="1:12" x14ac:dyDescent="0.25">
      <c r="A99" s="27"/>
      <c r="B99" s="27"/>
      <c r="C99" s="28"/>
      <c r="D99" s="27"/>
      <c r="E99" s="27"/>
      <c r="F99" s="27"/>
      <c r="G99" s="27"/>
      <c r="H99" s="27"/>
      <c r="I99" s="27"/>
      <c r="J99" s="27"/>
      <c r="K99" s="28"/>
      <c r="L99" s="27"/>
    </row>
    <row r="100" spans="1:12" x14ac:dyDescent="0.25">
      <c r="A100" s="27"/>
      <c r="B100" s="27"/>
      <c r="C100" s="28"/>
      <c r="D100" s="27"/>
      <c r="E100" s="27"/>
      <c r="F100" s="27"/>
      <c r="G100" s="27"/>
      <c r="H100" s="27"/>
      <c r="I100" s="27"/>
      <c r="J100" s="27"/>
      <c r="K100" s="28"/>
      <c r="L100" s="27"/>
    </row>
    <row r="101" spans="1:12" x14ac:dyDescent="0.25">
      <c r="A101" s="27"/>
      <c r="B101" s="27"/>
      <c r="C101" s="28"/>
      <c r="D101" s="27"/>
      <c r="E101" s="27"/>
      <c r="F101" s="27"/>
      <c r="G101" s="27"/>
      <c r="H101" s="27"/>
      <c r="I101" s="27"/>
      <c r="J101" s="27"/>
      <c r="K101" s="28"/>
      <c r="L101" s="27"/>
    </row>
    <row r="102" spans="1:12" x14ac:dyDescent="0.25">
      <c r="A102" s="27"/>
      <c r="B102" s="27"/>
      <c r="C102" s="28"/>
      <c r="D102" s="27"/>
      <c r="E102" s="27"/>
      <c r="F102" s="27"/>
      <c r="G102" s="27"/>
      <c r="H102" s="27"/>
      <c r="I102" s="27"/>
      <c r="J102" s="27"/>
      <c r="K102" s="28"/>
      <c r="L102" s="27"/>
    </row>
    <row r="103" spans="1:12" x14ac:dyDescent="0.25">
      <c r="A103" s="27"/>
      <c r="B103" s="27"/>
      <c r="C103" s="28"/>
      <c r="D103" s="27"/>
      <c r="E103" s="27"/>
      <c r="F103" s="27"/>
      <c r="G103" s="27"/>
      <c r="H103" s="27"/>
      <c r="I103" s="27"/>
      <c r="J103" s="27"/>
      <c r="K103" s="28"/>
      <c r="L103" s="27"/>
    </row>
    <row r="104" spans="1:12" x14ac:dyDescent="0.25">
      <c r="A104" s="27"/>
      <c r="B104" s="27"/>
      <c r="C104" s="28"/>
      <c r="D104" s="27"/>
      <c r="E104" s="27"/>
      <c r="F104" s="27"/>
      <c r="G104" s="27"/>
      <c r="H104" s="27"/>
      <c r="I104" s="27"/>
      <c r="J104" s="27"/>
      <c r="K104" s="28"/>
      <c r="L104" s="27"/>
    </row>
    <row r="105" spans="1:12" x14ac:dyDescent="0.25">
      <c r="A105" s="27"/>
      <c r="B105" s="27"/>
      <c r="C105" s="28"/>
      <c r="D105" s="27"/>
      <c r="E105" s="27"/>
      <c r="F105" s="27"/>
      <c r="G105" s="27"/>
      <c r="H105" s="27"/>
      <c r="I105" s="27"/>
      <c r="J105" s="27"/>
      <c r="K105" s="28"/>
      <c r="L105" s="27"/>
    </row>
    <row r="106" spans="1:12" x14ac:dyDescent="0.25">
      <c r="A106" s="27"/>
      <c r="B106" s="27"/>
      <c r="C106" s="28"/>
      <c r="D106" s="27"/>
      <c r="E106" s="27"/>
      <c r="F106" s="27"/>
      <c r="G106" s="27"/>
      <c r="H106" s="27"/>
      <c r="I106" s="27"/>
      <c r="J106" s="27"/>
      <c r="K106" s="28"/>
      <c r="L106" s="27"/>
    </row>
    <row r="107" spans="1:12" x14ac:dyDescent="0.25">
      <c r="A107" s="27"/>
      <c r="B107" s="27"/>
      <c r="C107" s="28"/>
      <c r="D107" s="27"/>
      <c r="E107" s="27"/>
      <c r="F107" s="27"/>
      <c r="G107" s="27"/>
      <c r="H107" s="27"/>
      <c r="I107" s="27"/>
      <c r="J107" s="27"/>
      <c r="K107" s="28"/>
      <c r="L107" s="27"/>
    </row>
    <row r="108" spans="1:12" x14ac:dyDescent="0.25">
      <c r="A108" s="27"/>
      <c r="B108" s="27"/>
      <c r="C108" s="28"/>
      <c r="D108" s="27"/>
      <c r="E108" s="27"/>
      <c r="F108" s="27"/>
      <c r="G108" s="27"/>
      <c r="H108" s="27"/>
      <c r="I108" s="27"/>
      <c r="J108" s="27"/>
      <c r="K108" s="28"/>
      <c r="L108" s="27"/>
    </row>
    <row r="109" spans="1:12" x14ac:dyDescent="0.25">
      <c r="A109" s="27"/>
      <c r="B109" s="27"/>
      <c r="C109" s="28"/>
      <c r="D109" s="27"/>
      <c r="E109" s="27"/>
      <c r="F109" s="27"/>
      <c r="G109" s="27"/>
      <c r="H109" s="27"/>
      <c r="I109" s="27"/>
      <c r="J109" s="27"/>
      <c r="K109" s="28"/>
      <c r="L109" s="27"/>
    </row>
    <row r="110" spans="1:12" x14ac:dyDescent="0.25">
      <c r="A110" s="27"/>
      <c r="B110" s="27"/>
      <c r="C110" s="28"/>
      <c r="D110" s="27"/>
      <c r="E110" s="27"/>
      <c r="F110" s="27"/>
      <c r="G110" s="27"/>
      <c r="H110" s="27"/>
      <c r="I110" s="27"/>
      <c r="J110" s="27"/>
      <c r="K110" s="28"/>
      <c r="L110" s="27"/>
    </row>
    <row r="111" spans="1:12" x14ac:dyDescent="0.25">
      <c r="A111" s="27"/>
      <c r="B111" s="27"/>
      <c r="C111" s="28"/>
      <c r="D111" s="27"/>
      <c r="E111" s="27"/>
      <c r="F111" s="27"/>
      <c r="G111" s="27"/>
      <c r="H111" s="27"/>
      <c r="I111" s="27"/>
      <c r="J111" s="27"/>
      <c r="K111" s="28"/>
      <c r="L111" s="27"/>
    </row>
    <row r="112" spans="1:12" x14ac:dyDescent="0.25">
      <c r="A112" s="27"/>
      <c r="B112" s="27"/>
      <c r="C112" s="28"/>
      <c r="D112" s="27"/>
      <c r="E112" s="27"/>
      <c r="F112" s="27"/>
      <c r="G112" s="27"/>
      <c r="H112" s="27"/>
      <c r="I112" s="27"/>
      <c r="J112" s="27"/>
      <c r="K112" s="28"/>
      <c r="L112" s="27"/>
    </row>
    <row r="113" spans="1:12" x14ac:dyDescent="0.25">
      <c r="A113" s="27"/>
      <c r="B113" s="27"/>
      <c r="C113" s="28"/>
      <c r="D113" s="27"/>
      <c r="E113" s="27"/>
      <c r="F113" s="27"/>
      <c r="G113" s="27"/>
      <c r="H113" s="27"/>
      <c r="I113" s="27"/>
      <c r="J113" s="27"/>
      <c r="K113" s="28"/>
      <c r="L113" s="27"/>
    </row>
    <row r="114" spans="1:12" x14ac:dyDescent="0.25">
      <c r="A114" s="27"/>
      <c r="B114" s="27"/>
      <c r="C114" s="28"/>
      <c r="D114" s="27"/>
      <c r="E114" s="27"/>
      <c r="F114" s="27"/>
      <c r="G114" s="27"/>
      <c r="H114" s="27"/>
      <c r="I114" s="27"/>
      <c r="J114" s="27"/>
      <c r="K114" s="28"/>
      <c r="L114" s="27"/>
    </row>
    <row r="115" spans="1:12" x14ac:dyDescent="0.25">
      <c r="A115" s="27"/>
      <c r="B115" s="27"/>
      <c r="C115" s="28"/>
      <c r="D115" s="27"/>
      <c r="E115" s="27"/>
      <c r="F115" s="27"/>
      <c r="G115" s="27"/>
      <c r="H115" s="27"/>
      <c r="I115" s="27"/>
      <c r="J115" s="27"/>
      <c r="K115" s="28"/>
      <c r="L115" s="27"/>
    </row>
    <row r="116" spans="1:12" x14ac:dyDescent="0.25">
      <c r="A116" s="27"/>
      <c r="B116" s="27"/>
      <c r="C116" s="28"/>
      <c r="D116" s="27"/>
      <c r="E116" s="27"/>
      <c r="F116" s="27"/>
      <c r="G116" s="27"/>
      <c r="H116" s="27"/>
      <c r="I116" s="27"/>
      <c r="J116" s="27"/>
      <c r="K116" s="28"/>
      <c r="L116" s="27"/>
    </row>
    <row r="117" spans="1:12" x14ac:dyDescent="0.25">
      <c r="A117" s="27"/>
      <c r="B117" s="27"/>
      <c r="C117" s="28"/>
      <c r="D117" s="27"/>
      <c r="E117" s="27"/>
      <c r="F117" s="27"/>
      <c r="G117" s="27"/>
      <c r="H117" s="27"/>
      <c r="I117" s="27"/>
      <c r="J117" s="27"/>
      <c r="K117" s="28"/>
      <c r="L117" s="27"/>
    </row>
    <row r="118" spans="1:12" x14ac:dyDescent="0.25">
      <c r="A118" s="27"/>
      <c r="B118" s="27"/>
      <c r="C118" s="28"/>
      <c r="D118" s="27"/>
      <c r="E118" s="27"/>
      <c r="F118" s="27"/>
      <c r="G118" s="27"/>
      <c r="H118" s="27"/>
      <c r="I118" s="27"/>
      <c r="J118" s="27"/>
      <c r="K118" s="28"/>
      <c r="L118" s="27"/>
    </row>
    <row r="119" spans="1:12" x14ac:dyDescent="0.25">
      <c r="A119" s="27"/>
      <c r="B119" s="27"/>
      <c r="C119" s="28"/>
      <c r="D119" s="27"/>
      <c r="E119" s="27"/>
      <c r="F119" s="27"/>
      <c r="G119" s="27"/>
      <c r="H119" s="27"/>
      <c r="I119" s="27"/>
      <c r="J119" s="27"/>
      <c r="K119" s="28"/>
      <c r="L119" s="27"/>
    </row>
    <row r="120" spans="1:12" x14ac:dyDescent="0.25">
      <c r="A120" s="27"/>
      <c r="B120" s="27"/>
      <c r="C120" s="28"/>
      <c r="D120" s="27"/>
      <c r="E120" s="27"/>
      <c r="F120" s="27"/>
      <c r="G120" s="27"/>
      <c r="H120" s="27"/>
      <c r="I120" s="27"/>
      <c r="J120" s="27"/>
      <c r="K120" s="28"/>
      <c r="L120" s="27"/>
    </row>
    <row r="121" spans="1:12" x14ac:dyDescent="0.25">
      <c r="A121" s="27"/>
      <c r="B121" s="27"/>
      <c r="C121" s="28"/>
      <c r="D121" s="27"/>
      <c r="E121" s="27"/>
      <c r="F121" s="27"/>
      <c r="G121" s="27"/>
      <c r="H121" s="27"/>
      <c r="I121" s="27"/>
      <c r="J121" s="27"/>
      <c r="K121" s="28"/>
      <c r="L121" s="27"/>
    </row>
    <row r="122" spans="1:12" x14ac:dyDescent="0.25">
      <c r="A122" s="27"/>
      <c r="B122" s="27"/>
      <c r="C122" s="28"/>
      <c r="D122" s="27"/>
      <c r="E122" s="27"/>
      <c r="F122" s="27"/>
      <c r="G122" s="27"/>
      <c r="H122" s="27"/>
      <c r="I122" s="27"/>
      <c r="J122" s="27"/>
      <c r="K122" s="28"/>
      <c r="L122" s="27"/>
    </row>
    <row r="123" spans="1:12" x14ac:dyDescent="0.25">
      <c r="A123" s="27"/>
      <c r="B123" s="27"/>
      <c r="C123" s="28"/>
      <c r="D123" s="27"/>
      <c r="E123" s="27"/>
      <c r="F123" s="27"/>
      <c r="G123" s="27"/>
      <c r="H123" s="27"/>
      <c r="I123" s="27"/>
      <c r="J123" s="27"/>
      <c r="K123" s="28"/>
      <c r="L123" s="27"/>
    </row>
    <row r="124" spans="1:12" x14ac:dyDescent="0.25">
      <c r="A124" s="27"/>
      <c r="B124" s="27"/>
      <c r="C124" s="28"/>
      <c r="D124" s="27"/>
      <c r="E124" s="27"/>
      <c r="F124" s="27"/>
      <c r="G124" s="27"/>
      <c r="H124" s="27"/>
      <c r="I124" s="27"/>
      <c r="J124" s="27"/>
      <c r="K124" s="28"/>
      <c r="L124" s="27"/>
    </row>
    <row r="125" spans="1:12" x14ac:dyDescent="0.25">
      <c r="A125" s="27"/>
      <c r="B125" s="27"/>
      <c r="C125" s="28"/>
      <c r="D125" s="27"/>
      <c r="E125" s="27"/>
      <c r="F125" s="27"/>
      <c r="G125" s="27"/>
      <c r="H125" s="27"/>
      <c r="I125" s="27"/>
      <c r="J125" s="27"/>
      <c r="K125" s="28"/>
      <c r="L125" s="27"/>
    </row>
    <row r="126" spans="1:12" x14ac:dyDescent="0.25">
      <c r="A126" s="27"/>
      <c r="B126" s="27"/>
      <c r="C126" s="28"/>
      <c r="D126" s="27"/>
      <c r="E126" s="27"/>
      <c r="F126" s="27"/>
      <c r="G126" s="27"/>
      <c r="H126" s="27"/>
      <c r="I126" s="27"/>
      <c r="J126" s="27"/>
      <c r="K126" s="28"/>
      <c r="L126" s="27"/>
    </row>
    <row r="127" spans="1:12" x14ac:dyDescent="0.25">
      <c r="A127" s="27"/>
      <c r="B127" s="27"/>
      <c r="C127" s="28"/>
      <c r="D127" s="27"/>
      <c r="E127" s="27"/>
      <c r="F127" s="27"/>
      <c r="G127" s="27"/>
      <c r="H127" s="27"/>
      <c r="I127" s="27"/>
      <c r="J127" s="27"/>
      <c r="K127" s="28"/>
      <c r="L127" s="27"/>
    </row>
    <row r="128" spans="1:12" x14ac:dyDescent="0.25">
      <c r="A128" s="27"/>
      <c r="B128" s="27"/>
      <c r="C128" s="28"/>
      <c r="D128" s="27"/>
      <c r="E128" s="27"/>
      <c r="F128" s="27"/>
      <c r="G128" s="27"/>
      <c r="H128" s="27"/>
      <c r="I128" s="27"/>
      <c r="J128" s="27"/>
      <c r="K128" s="28"/>
      <c r="L128" s="27"/>
    </row>
    <row r="129" spans="1:12" x14ac:dyDescent="0.25">
      <c r="A129" s="27"/>
      <c r="B129" s="27"/>
      <c r="C129" s="28"/>
      <c r="D129" s="27"/>
      <c r="E129" s="27"/>
      <c r="F129" s="27"/>
      <c r="G129" s="27"/>
      <c r="H129" s="27"/>
      <c r="I129" s="27"/>
      <c r="J129" s="27"/>
      <c r="K129" s="28"/>
      <c r="L129" s="27"/>
    </row>
    <row r="130" spans="1:12" x14ac:dyDescent="0.25">
      <c r="A130" s="27"/>
      <c r="B130" s="27"/>
      <c r="C130" s="28"/>
      <c r="D130" s="27"/>
      <c r="E130" s="27"/>
      <c r="F130" s="27"/>
      <c r="G130" s="27"/>
      <c r="H130" s="27"/>
      <c r="I130" s="27"/>
      <c r="J130" s="27"/>
      <c r="K130" s="28"/>
      <c r="L130" s="27"/>
    </row>
    <row r="131" spans="1:12" x14ac:dyDescent="0.25">
      <c r="A131" s="27"/>
      <c r="B131" s="27"/>
      <c r="C131" s="28"/>
      <c r="D131" s="27"/>
      <c r="E131" s="27"/>
      <c r="F131" s="27"/>
      <c r="G131" s="27"/>
      <c r="H131" s="27"/>
      <c r="I131" s="27"/>
      <c r="J131" s="27"/>
      <c r="K131" s="28"/>
      <c r="L131" s="27"/>
    </row>
    <row r="132" spans="1:12" x14ac:dyDescent="0.25">
      <c r="A132" s="27"/>
      <c r="B132" s="27"/>
      <c r="C132" s="28"/>
      <c r="D132" s="27"/>
      <c r="E132" s="27"/>
      <c r="F132" s="27"/>
      <c r="G132" s="27"/>
      <c r="H132" s="27"/>
      <c r="I132" s="27"/>
      <c r="J132" s="27"/>
      <c r="K132" s="28"/>
      <c r="L132" s="27"/>
    </row>
    <row r="133" spans="1:12" x14ac:dyDescent="0.25">
      <c r="A133" s="27"/>
      <c r="B133" s="27"/>
      <c r="C133" s="28"/>
      <c r="D133" s="27"/>
      <c r="E133" s="27"/>
      <c r="F133" s="27"/>
      <c r="G133" s="27"/>
      <c r="H133" s="27"/>
      <c r="I133" s="27"/>
      <c r="J133" s="27"/>
      <c r="K133" s="28"/>
      <c r="L133" s="27"/>
    </row>
    <row r="134" spans="1:12" x14ac:dyDescent="0.25">
      <c r="A134" s="27"/>
      <c r="B134" s="27"/>
      <c r="C134" s="28"/>
      <c r="D134" s="27"/>
      <c r="E134" s="27"/>
      <c r="F134" s="27"/>
      <c r="G134" s="27"/>
      <c r="H134" s="27"/>
      <c r="I134" s="27"/>
      <c r="J134" s="27"/>
      <c r="K134" s="28"/>
      <c r="L134" s="27"/>
    </row>
    <row r="135" spans="1:12" x14ac:dyDescent="0.25">
      <c r="A135" s="27"/>
      <c r="B135" s="27"/>
      <c r="C135" s="28"/>
      <c r="D135" s="27"/>
      <c r="E135" s="27"/>
      <c r="F135" s="27"/>
      <c r="G135" s="27"/>
      <c r="H135" s="27"/>
      <c r="I135" s="27"/>
      <c r="J135" s="27"/>
      <c r="K135" s="28"/>
      <c r="L135" s="27"/>
    </row>
    <row r="136" spans="1:12" x14ac:dyDescent="0.25">
      <c r="A136" s="27"/>
      <c r="B136" s="27"/>
      <c r="C136" s="28"/>
      <c r="D136" s="27"/>
      <c r="E136" s="27"/>
      <c r="F136" s="27"/>
      <c r="G136" s="27"/>
      <c r="H136" s="27"/>
      <c r="I136" s="27"/>
      <c r="J136" s="27"/>
      <c r="K136" s="28"/>
      <c r="L136" s="27"/>
    </row>
    <row r="137" spans="1:12" x14ac:dyDescent="0.25">
      <c r="A137" s="27"/>
      <c r="B137" s="27"/>
      <c r="C137" s="28"/>
      <c r="D137" s="27"/>
      <c r="E137" s="27"/>
      <c r="F137" s="27"/>
      <c r="G137" s="27"/>
      <c r="H137" s="27"/>
      <c r="I137" s="27"/>
      <c r="J137" s="27"/>
      <c r="K137" s="28"/>
      <c r="L137" s="27"/>
    </row>
    <row r="138" spans="1:12" x14ac:dyDescent="0.25">
      <c r="A138" s="27"/>
      <c r="B138" s="27"/>
      <c r="C138" s="28"/>
      <c r="D138" s="27"/>
      <c r="E138" s="27"/>
      <c r="F138" s="27"/>
      <c r="G138" s="27"/>
      <c r="H138" s="27"/>
      <c r="I138" s="27"/>
      <c r="J138" s="27"/>
      <c r="K138" s="28"/>
      <c r="L138" s="27"/>
    </row>
    <row r="139" spans="1:12" x14ac:dyDescent="0.25">
      <c r="A139" s="27"/>
      <c r="B139" s="27"/>
      <c r="C139" s="28"/>
      <c r="D139" s="27"/>
      <c r="E139" s="27"/>
      <c r="F139" s="27"/>
      <c r="G139" s="27"/>
      <c r="H139" s="27"/>
      <c r="I139" s="27"/>
      <c r="J139" s="27"/>
      <c r="K139" s="28"/>
      <c r="L139" s="27"/>
    </row>
    <row r="140" spans="1:12" x14ac:dyDescent="0.25">
      <c r="A140" s="27"/>
      <c r="B140" s="27"/>
      <c r="C140" s="28"/>
      <c r="D140" s="27"/>
      <c r="E140" s="27"/>
      <c r="F140" s="27"/>
      <c r="G140" s="27"/>
      <c r="H140" s="27"/>
      <c r="I140" s="27"/>
      <c r="J140" s="27"/>
      <c r="K140" s="28"/>
      <c r="L140" s="27"/>
    </row>
    <row r="141" spans="1:12" x14ac:dyDescent="0.25">
      <c r="A141" s="27"/>
      <c r="B141" s="27"/>
      <c r="C141" s="28"/>
      <c r="D141" s="27"/>
      <c r="E141" s="27"/>
      <c r="F141" s="27"/>
      <c r="G141" s="27"/>
      <c r="H141" s="27"/>
      <c r="I141" s="27"/>
      <c r="J141" s="27"/>
      <c r="K141" s="28"/>
      <c r="L141" s="27"/>
    </row>
    <row r="142" spans="1:12" x14ac:dyDescent="0.25">
      <c r="A142" s="27"/>
      <c r="B142" s="27"/>
      <c r="C142" s="28"/>
      <c r="D142" s="27"/>
      <c r="E142" s="27"/>
      <c r="F142" s="27"/>
      <c r="G142" s="27"/>
      <c r="H142" s="27"/>
      <c r="I142" s="27"/>
      <c r="J142" s="27"/>
      <c r="K142" s="28"/>
      <c r="L142" s="27"/>
    </row>
    <row r="143" spans="1:12" x14ac:dyDescent="0.25">
      <c r="A143" s="27"/>
      <c r="B143" s="27"/>
      <c r="C143" s="28"/>
      <c r="D143" s="27"/>
      <c r="E143" s="27"/>
      <c r="F143" s="27"/>
      <c r="G143" s="27"/>
      <c r="H143" s="27"/>
      <c r="I143" s="27"/>
      <c r="J143" s="27"/>
      <c r="K143" s="28"/>
      <c r="L143" s="27"/>
    </row>
    <row r="144" spans="1:12" x14ac:dyDescent="0.25">
      <c r="A144" s="27"/>
      <c r="B144" s="27"/>
      <c r="C144" s="28"/>
      <c r="D144" s="27"/>
      <c r="E144" s="27"/>
      <c r="F144" s="27"/>
      <c r="G144" s="27"/>
      <c r="H144" s="27"/>
      <c r="I144" s="27"/>
      <c r="J144" s="27"/>
      <c r="K144" s="28"/>
      <c r="L144" s="27"/>
    </row>
    <row r="145" spans="1:12" x14ac:dyDescent="0.25">
      <c r="A145" s="27"/>
      <c r="B145" s="27"/>
      <c r="C145" s="28"/>
      <c r="D145" s="27"/>
      <c r="E145" s="27"/>
      <c r="F145" s="27"/>
      <c r="G145" s="27"/>
      <c r="H145" s="27"/>
      <c r="I145" s="27"/>
      <c r="J145" s="27"/>
      <c r="K145" s="28"/>
      <c r="L145" s="27"/>
    </row>
    <row r="146" spans="1:12" x14ac:dyDescent="0.25">
      <c r="A146" s="27"/>
      <c r="B146" s="27"/>
      <c r="C146" s="28"/>
      <c r="D146" s="27"/>
      <c r="E146" s="27"/>
      <c r="F146" s="27"/>
      <c r="G146" s="27"/>
      <c r="H146" s="27"/>
      <c r="I146" s="27"/>
      <c r="J146" s="27"/>
      <c r="K146" s="28"/>
      <c r="L146" s="27"/>
    </row>
    <row r="147" spans="1:12" x14ac:dyDescent="0.25">
      <c r="A147" s="27"/>
      <c r="B147" s="27"/>
      <c r="C147" s="28"/>
      <c r="D147" s="27"/>
      <c r="E147" s="27"/>
      <c r="F147" s="27"/>
      <c r="G147" s="27"/>
      <c r="H147" s="27"/>
      <c r="I147" s="27"/>
      <c r="J147" s="27"/>
      <c r="K147" s="28"/>
      <c r="L147" s="27"/>
    </row>
    <row r="148" spans="1:12" x14ac:dyDescent="0.25">
      <c r="A148" s="27"/>
      <c r="B148" s="27"/>
      <c r="C148" s="28"/>
      <c r="D148" s="27"/>
      <c r="E148" s="27"/>
      <c r="F148" s="27"/>
      <c r="G148" s="27"/>
      <c r="H148" s="27"/>
      <c r="I148" s="27"/>
      <c r="J148" s="27"/>
      <c r="K148" s="28"/>
      <c r="L148" s="27"/>
    </row>
    <row r="149" spans="1:12" x14ac:dyDescent="0.25">
      <c r="A149" s="27"/>
      <c r="B149" s="27"/>
      <c r="C149" s="28"/>
      <c r="D149" s="27"/>
      <c r="E149" s="27"/>
      <c r="F149" s="27"/>
      <c r="G149" s="27"/>
      <c r="H149" s="27"/>
      <c r="I149" s="27"/>
      <c r="J149" s="27"/>
      <c r="K149" s="28"/>
      <c r="L149" s="27"/>
    </row>
    <row r="150" spans="1:12" x14ac:dyDescent="0.25">
      <c r="A150" s="27"/>
      <c r="B150" s="27"/>
      <c r="C150" s="28"/>
      <c r="D150" s="27"/>
      <c r="E150" s="27"/>
      <c r="F150" s="27"/>
      <c r="G150" s="27"/>
      <c r="H150" s="27"/>
      <c r="I150" s="27"/>
      <c r="J150" s="27"/>
      <c r="K150" s="28"/>
      <c r="L150" s="27"/>
    </row>
    <row r="151" spans="1:12" x14ac:dyDescent="0.25">
      <c r="A151" s="27"/>
      <c r="B151" s="27"/>
      <c r="C151" s="28"/>
      <c r="D151" s="27"/>
      <c r="E151" s="27"/>
      <c r="F151" s="27"/>
      <c r="G151" s="27"/>
      <c r="H151" s="27"/>
      <c r="I151" s="27"/>
      <c r="J151" s="27"/>
      <c r="K151" s="28"/>
      <c r="L151" s="27"/>
    </row>
    <row r="152" spans="1:12" x14ac:dyDescent="0.25">
      <c r="A152" s="27"/>
      <c r="B152" s="27"/>
      <c r="C152" s="28"/>
      <c r="D152" s="27"/>
      <c r="E152" s="27"/>
      <c r="F152" s="27"/>
      <c r="G152" s="27"/>
      <c r="H152" s="27"/>
      <c r="I152" s="27"/>
      <c r="J152" s="27"/>
      <c r="K152" s="28"/>
      <c r="L152" s="27"/>
    </row>
    <row r="153" spans="1:12" x14ac:dyDescent="0.25">
      <c r="A153" s="27"/>
      <c r="B153" s="27"/>
      <c r="C153" s="28"/>
      <c r="D153" s="27"/>
      <c r="E153" s="27"/>
      <c r="F153" s="27"/>
      <c r="G153" s="27"/>
      <c r="H153" s="27"/>
      <c r="I153" s="27"/>
      <c r="J153" s="27"/>
      <c r="K153" s="28"/>
      <c r="L153" s="27"/>
    </row>
    <row r="154" spans="1:12" x14ac:dyDescent="0.25">
      <c r="A154" s="27"/>
      <c r="B154" s="27"/>
      <c r="C154" s="28"/>
      <c r="D154" s="27"/>
      <c r="E154" s="27"/>
      <c r="F154" s="27"/>
      <c r="G154" s="27"/>
      <c r="H154" s="27"/>
      <c r="I154" s="27"/>
      <c r="J154" s="27"/>
      <c r="K154" s="28"/>
      <c r="L154" s="27"/>
    </row>
    <row r="155" spans="1:12" x14ac:dyDescent="0.25">
      <c r="A155" s="27"/>
      <c r="B155" s="27"/>
      <c r="C155" s="28"/>
      <c r="D155" s="27"/>
      <c r="E155" s="27"/>
      <c r="F155" s="27"/>
      <c r="G155" s="27"/>
      <c r="H155" s="27"/>
      <c r="I155" s="27"/>
      <c r="J155" s="27"/>
      <c r="K155" s="28"/>
      <c r="L155" s="27"/>
    </row>
    <row r="156" spans="1:12" x14ac:dyDescent="0.25">
      <c r="A156" s="27"/>
      <c r="B156" s="27"/>
      <c r="C156" s="28"/>
      <c r="D156" s="27"/>
      <c r="E156" s="27"/>
      <c r="F156" s="27"/>
      <c r="G156" s="27"/>
      <c r="H156" s="27"/>
      <c r="I156" s="27"/>
      <c r="J156" s="27"/>
      <c r="K156" s="28"/>
      <c r="L156" s="27"/>
    </row>
    <row r="157" spans="1:12" x14ac:dyDescent="0.25">
      <c r="A157" s="27"/>
      <c r="B157" s="27"/>
      <c r="C157" s="28"/>
      <c r="D157" s="27"/>
      <c r="E157" s="27"/>
      <c r="F157" s="27"/>
      <c r="G157" s="27"/>
      <c r="H157" s="27"/>
      <c r="I157" s="27"/>
      <c r="J157" s="27"/>
      <c r="K157" s="28"/>
      <c r="L157" s="27"/>
    </row>
    <row r="158" spans="1:12" x14ac:dyDescent="0.25">
      <c r="A158" s="27"/>
      <c r="B158" s="27"/>
      <c r="C158" s="28"/>
      <c r="D158" s="27"/>
      <c r="E158" s="27"/>
      <c r="F158" s="27"/>
      <c r="G158" s="27"/>
      <c r="H158" s="27"/>
      <c r="I158" s="27"/>
      <c r="J158" s="27"/>
      <c r="K158" s="28"/>
      <c r="L158" s="27"/>
    </row>
    <row r="159" spans="1:12" x14ac:dyDescent="0.25">
      <c r="A159" s="27"/>
      <c r="B159" s="27"/>
      <c r="C159" s="28"/>
      <c r="D159" s="27"/>
      <c r="E159" s="27"/>
      <c r="F159" s="27"/>
      <c r="G159" s="27"/>
      <c r="H159" s="27"/>
      <c r="I159" s="27"/>
      <c r="J159" s="27"/>
      <c r="K159" s="28"/>
      <c r="L159" s="27"/>
    </row>
    <row r="160" spans="1:12" x14ac:dyDescent="0.25">
      <c r="A160" s="27"/>
      <c r="B160" s="27"/>
      <c r="C160" s="28"/>
      <c r="D160" s="27"/>
      <c r="E160" s="27"/>
      <c r="F160" s="27"/>
      <c r="G160" s="27"/>
      <c r="H160" s="27"/>
      <c r="I160" s="27"/>
      <c r="J160" s="27"/>
      <c r="K160" s="28"/>
      <c r="L160" s="27"/>
    </row>
    <row r="161" spans="1:12" x14ac:dyDescent="0.25">
      <c r="A161" s="27"/>
      <c r="B161" s="27"/>
      <c r="C161" s="28"/>
      <c r="D161" s="27"/>
      <c r="E161" s="27"/>
      <c r="F161" s="27"/>
      <c r="G161" s="27"/>
      <c r="H161" s="27"/>
      <c r="I161" s="27"/>
      <c r="J161" s="27"/>
      <c r="K161" s="28"/>
      <c r="L161" s="27"/>
    </row>
    <row r="162" spans="1:12" x14ac:dyDescent="0.25">
      <c r="A162" s="27"/>
      <c r="B162" s="27"/>
      <c r="C162" s="28"/>
      <c r="D162" s="27"/>
      <c r="E162" s="27"/>
      <c r="F162" s="27"/>
      <c r="G162" s="27"/>
      <c r="H162" s="27"/>
      <c r="I162" s="27"/>
      <c r="J162" s="27"/>
      <c r="K162" s="28"/>
      <c r="L162" s="27"/>
    </row>
    <row r="163" spans="1:12" x14ac:dyDescent="0.25">
      <c r="A163" s="27"/>
      <c r="B163" s="27"/>
      <c r="C163" s="28"/>
      <c r="D163" s="27"/>
      <c r="E163" s="27"/>
      <c r="F163" s="27"/>
      <c r="G163" s="27"/>
      <c r="H163" s="27"/>
      <c r="I163" s="27"/>
      <c r="J163" s="27"/>
      <c r="K163" s="28"/>
      <c r="L163" s="27"/>
    </row>
    <row r="164" spans="1:12" x14ac:dyDescent="0.25">
      <c r="A164" s="27"/>
      <c r="B164" s="27"/>
      <c r="C164" s="28"/>
      <c r="D164" s="27"/>
      <c r="E164" s="27"/>
      <c r="F164" s="27"/>
      <c r="G164" s="27"/>
      <c r="H164" s="27"/>
      <c r="I164" s="27"/>
      <c r="J164" s="27"/>
      <c r="K164" s="28"/>
      <c r="L164" s="27"/>
    </row>
    <row r="165" spans="1:12" x14ac:dyDescent="0.25">
      <c r="A165" s="27"/>
      <c r="B165" s="27"/>
      <c r="C165" s="28"/>
      <c r="D165" s="27"/>
      <c r="E165" s="27"/>
      <c r="F165" s="27"/>
      <c r="G165" s="27"/>
      <c r="H165" s="27"/>
      <c r="I165" s="27"/>
      <c r="J165" s="27"/>
      <c r="K165" s="28"/>
      <c r="L165" s="27"/>
    </row>
    <row r="166" spans="1:12" x14ac:dyDescent="0.25">
      <c r="A166" s="27"/>
      <c r="B166" s="27"/>
      <c r="C166" s="28"/>
      <c r="D166" s="27"/>
      <c r="E166" s="27"/>
      <c r="F166" s="27"/>
      <c r="G166" s="27"/>
      <c r="H166" s="27"/>
      <c r="I166" s="27"/>
      <c r="J166" s="27"/>
      <c r="K166" s="28"/>
      <c r="L166" s="27"/>
    </row>
    <row r="167" spans="1:12" x14ac:dyDescent="0.25">
      <c r="A167" s="27"/>
      <c r="B167" s="27"/>
      <c r="C167" s="28"/>
      <c r="D167" s="27"/>
      <c r="E167" s="27"/>
      <c r="F167" s="27"/>
      <c r="G167" s="27"/>
      <c r="H167" s="27"/>
      <c r="I167" s="27"/>
      <c r="J167" s="27"/>
      <c r="K167" s="28"/>
      <c r="L167" s="27"/>
    </row>
    <row r="168" spans="1:12" x14ac:dyDescent="0.25">
      <c r="A168" s="27"/>
      <c r="B168" s="27"/>
      <c r="C168" s="28"/>
      <c r="D168" s="27"/>
      <c r="E168" s="27"/>
      <c r="F168" s="27"/>
      <c r="G168" s="27"/>
      <c r="H168" s="27"/>
      <c r="I168" s="27"/>
      <c r="J168" s="27"/>
      <c r="K168" s="28"/>
      <c r="L168" s="27"/>
    </row>
    <row r="169" spans="1:12" x14ac:dyDescent="0.25">
      <c r="A169" s="27"/>
      <c r="B169" s="27"/>
      <c r="C169" s="28"/>
      <c r="D169" s="27"/>
      <c r="E169" s="27"/>
      <c r="F169" s="27"/>
      <c r="G169" s="27"/>
      <c r="H169" s="27"/>
      <c r="I169" s="27"/>
      <c r="J169" s="27"/>
      <c r="K169" s="28"/>
      <c r="L169" s="27"/>
    </row>
    <row r="170" spans="1:12" x14ac:dyDescent="0.25">
      <c r="A170" s="27"/>
      <c r="B170" s="27"/>
      <c r="C170" s="28"/>
      <c r="D170" s="27"/>
      <c r="E170" s="27"/>
      <c r="F170" s="27"/>
      <c r="G170" s="27"/>
      <c r="H170" s="27"/>
      <c r="I170" s="27"/>
      <c r="J170" s="27"/>
      <c r="K170" s="28"/>
      <c r="L170" s="27"/>
    </row>
    <row r="171" spans="1:12" x14ac:dyDescent="0.25">
      <c r="A171" s="27"/>
      <c r="B171" s="27"/>
      <c r="C171" s="28"/>
      <c r="D171" s="27"/>
      <c r="E171" s="27"/>
      <c r="F171" s="27"/>
      <c r="G171" s="27"/>
      <c r="H171" s="27"/>
      <c r="I171" s="27"/>
      <c r="J171" s="27"/>
      <c r="K171" s="28"/>
      <c r="L171" s="27"/>
    </row>
    <row r="172" spans="1:12" x14ac:dyDescent="0.25">
      <c r="A172" s="27"/>
      <c r="B172" s="27"/>
      <c r="C172" s="28"/>
      <c r="D172" s="27"/>
      <c r="E172" s="27"/>
      <c r="F172" s="27"/>
      <c r="G172" s="27"/>
      <c r="H172" s="27"/>
      <c r="I172" s="27"/>
      <c r="J172" s="27"/>
      <c r="K172" s="28"/>
      <c r="L172" s="27"/>
    </row>
    <row r="173" spans="1:12" x14ac:dyDescent="0.25">
      <c r="A173" s="27"/>
      <c r="B173" s="27"/>
      <c r="C173" s="28"/>
      <c r="D173" s="27"/>
      <c r="E173" s="27"/>
      <c r="F173" s="27"/>
      <c r="G173" s="27"/>
      <c r="H173" s="27"/>
      <c r="I173" s="27"/>
      <c r="J173" s="27"/>
      <c r="K173" s="28"/>
      <c r="L173" s="27"/>
    </row>
    <row r="174" spans="1:12" x14ac:dyDescent="0.25">
      <c r="A174" s="27"/>
      <c r="B174" s="27"/>
      <c r="C174" s="28"/>
      <c r="D174" s="27"/>
      <c r="E174" s="27"/>
      <c r="F174" s="27"/>
      <c r="G174" s="27"/>
      <c r="H174" s="27"/>
      <c r="I174" s="27"/>
      <c r="J174" s="27"/>
      <c r="K174" s="28"/>
      <c r="L174" s="27"/>
    </row>
    <row r="175" spans="1:12" x14ac:dyDescent="0.25">
      <c r="A175" s="27"/>
      <c r="B175" s="27"/>
      <c r="C175" s="28"/>
      <c r="D175" s="27"/>
      <c r="E175" s="27"/>
      <c r="F175" s="27"/>
      <c r="G175" s="27"/>
      <c r="H175" s="27"/>
      <c r="I175" s="27"/>
      <c r="J175" s="27"/>
      <c r="K175" s="28"/>
      <c r="L175" s="27"/>
    </row>
    <row r="176" spans="1:12" x14ac:dyDescent="0.25">
      <c r="A176" s="27"/>
      <c r="B176" s="27"/>
      <c r="C176" s="28"/>
      <c r="D176" s="27"/>
      <c r="E176" s="27"/>
      <c r="F176" s="27"/>
      <c r="G176" s="27"/>
      <c r="H176" s="27"/>
      <c r="I176" s="27"/>
      <c r="J176" s="27"/>
      <c r="K176" s="28"/>
      <c r="L176" s="27"/>
    </row>
    <row r="177" spans="1:12" x14ac:dyDescent="0.25">
      <c r="A177" s="27"/>
      <c r="B177" s="27"/>
      <c r="C177" s="28"/>
      <c r="D177" s="27"/>
      <c r="E177" s="27"/>
      <c r="F177" s="27"/>
      <c r="G177" s="27"/>
      <c r="H177" s="27"/>
      <c r="I177" s="27"/>
      <c r="J177" s="27"/>
      <c r="K177" s="28"/>
      <c r="L177" s="27"/>
    </row>
    <row r="178" spans="1:12" x14ac:dyDescent="0.25">
      <c r="A178" s="27"/>
      <c r="B178" s="27"/>
      <c r="C178" s="28"/>
      <c r="D178" s="27"/>
      <c r="E178" s="27"/>
      <c r="F178" s="27"/>
      <c r="G178" s="27"/>
      <c r="H178" s="27"/>
      <c r="I178" s="27"/>
      <c r="J178" s="27"/>
      <c r="K178" s="28"/>
      <c r="L178" s="27"/>
    </row>
    <row r="179" spans="1:12" x14ac:dyDescent="0.25">
      <c r="A179" s="27"/>
      <c r="B179" s="27"/>
      <c r="C179" s="28"/>
      <c r="D179" s="27"/>
      <c r="E179" s="27"/>
      <c r="F179" s="27"/>
      <c r="G179" s="27"/>
      <c r="H179" s="27"/>
      <c r="I179" s="27"/>
      <c r="J179" s="27"/>
      <c r="K179" s="28"/>
      <c r="L179" s="27"/>
    </row>
    <row r="180" spans="1:12" x14ac:dyDescent="0.25">
      <c r="A180" s="27"/>
      <c r="B180" s="27"/>
      <c r="C180" s="28"/>
      <c r="D180" s="27"/>
      <c r="E180" s="27"/>
      <c r="F180" s="27"/>
      <c r="G180" s="27"/>
      <c r="H180" s="27"/>
      <c r="I180" s="27"/>
      <c r="J180" s="27"/>
      <c r="K180" s="28"/>
      <c r="L180" s="27"/>
    </row>
    <row r="181" spans="1:12" x14ac:dyDescent="0.25">
      <c r="A181" s="27"/>
      <c r="B181" s="27"/>
      <c r="C181" s="28"/>
      <c r="D181" s="27"/>
      <c r="E181" s="27"/>
      <c r="F181" s="27"/>
      <c r="G181" s="27"/>
      <c r="H181" s="27"/>
      <c r="I181" s="27"/>
      <c r="J181" s="27"/>
      <c r="K181" s="28"/>
      <c r="L181" s="27"/>
    </row>
    <row r="182" spans="1:12" x14ac:dyDescent="0.25">
      <c r="A182" s="27"/>
      <c r="B182" s="27"/>
      <c r="C182" s="28"/>
      <c r="D182" s="27"/>
      <c r="E182" s="27"/>
      <c r="F182" s="27"/>
      <c r="G182" s="27"/>
      <c r="H182" s="27"/>
      <c r="I182" s="27"/>
      <c r="J182" s="27"/>
      <c r="K182" s="28"/>
      <c r="L182" s="27"/>
    </row>
    <row r="183" spans="1:12" x14ac:dyDescent="0.25">
      <c r="A183" s="27"/>
      <c r="B183" s="27"/>
      <c r="C183" s="28"/>
      <c r="D183" s="27"/>
      <c r="E183" s="27"/>
      <c r="F183" s="27"/>
      <c r="G183" s="27"/>
      <c r="H183" s="27"/>
      <c r="I183" s="27"/>
      <c r="J183" s="27"/>
      <c r="K183" s="28"/>
      <c r="L183" s="27"/>
    </row>
    <row r="184" spans="1:12" x14ac:dyDescent="0.25">
      <c r="A184" s="27"/>
      <c r="B184" s="27"/>
      <c r="C184" s="28"/>
      <c r="D184" s="27"/>
      <c r="E184" s="27"/>
      <c r="F184" s="27"/>
      <c r="G184" s="27"/>
      <c r="H184" s="27"/>
      <c r="I184" s="27"/>
      <c r="J184" s="27"/>
      <c r="K184" s="28"/>
      <c r="L184" s="27"/>
    </row>
    <row r="185" spans="1:12" x14ac:dyDescent="0.25">
      <c r="A185" s="27"/>
      <c r="B185" s="27"/>
      <c r="C185" s="28"/>
      <c r="D185" s="27"/>
      <c r="E185" s="27"/>
      <c r="F185" s="27"/>
      <c r="G185" s="27"/>
      <c r="H185" s="27"/>
      <c r="I185" s="27"/>
      <c r="J185" s="27"/>
      <c r="K185" s="28"/>
      <c r="L185" s="27"/>
    </row>
    <row r="186" spans="1:12" x14ac:dyDescent="0.25">
      <c r="A186" s="27"/>
      <c r="B186" s="27"/>
      <c r="C186" s="28"/>
      <c r="D186" s="27"/>
      <c r="E186" s="27"/>
      <c r="F186" s="27"/>
      <c r="G186" s="27"/>
      <c r="H186" s="27"/>
      <c r="I186" s="27"/>
      <c r="J186" s="27"/>
      <c r="K186" s="28"/>
      <c r="L186" s="27"/>
    </row>
    <row r="187" spans="1:12" x14ac:dyDescent="0.25">
      <c r="A187" s="27"/>
      <c r="B187" s="27"/>
      <c r="C187" s="28"/>
      <c r="D187" s="27"/>
      <c r="E187" s="27"/>
      <c r="F187" s="27"/>
      <c r="G187" s="27"/>
      <c r="H187" s="27"/>
      <c r="I187" s="27"/>
      <c r="J187" s="27"/>
      <c r="K187" s="28"/>
      <c r="L187" s="27"/>
    </row>
    <row r="188" spans="1:12" x14ac:dyDescent="0.25">
      <c r="A188" s="27"/>
      <c r="B188" s="27"/>
      <c r="C188" s="28"/>
      <c r="D188" s="27"/>
      <c r="E188" s="27"/>
      <c r="F188" s="27"/>
      <c r="G188" s="27"/>
      <c r="H188" s="27"/>
      <c r="I188" s="27"/>
      <c r="J188" s="27"/>
      <c r="K188" s="28"/>
      <c r="L188" s="27"/>
    </row>
    <row r="189" spans="1:12" x14ac:dyDescent="0.25">
      <c r="A189" s="27"/>
      <c r="B189" s="27"/>
      <c r="C189" s="28"/>
      <c r="D189" s="27"/>
      <c r="E189" s="27"/>
      <c r="F189" s="27"/>
      <c r="G189" s="27"/>
      <c r="H189" s="27"/>
      <c r="I189" s="27"/>
      <c r="J189" s="27"/>
      <c r="K189" s="28"/>
      <c r="L189" s="27"/>
    </row>
    <row r="190" spans="1:12" x14ac:dyDescent="0.25">
      <c r="A190" s="27"/>
      <c r="B190" s="27"/>
      <c r="C190" s="28"/>
      <c r="D190" s="27"/>
      <c r="E190" s="27"/>
      <c r="F190" s="27"/>
      <c r="G190" s="27"/>
      <c r="H190" s="27"/>
      <c r="I190" s="27"/>
      <c r="J190" s="27"/>
      <c r="K190" s="28"/>
      <c r="L190" s="27"/>
    </row>
    <row r="191" spans="1:12" x14ac:dyDescent="0.25">
      <c r="A191" s="27"/>
      <c r="B191" s="27"/>
      <c r="C191" s="28"/>
      <c r="D191" s="27"/>
      <c r="E191" s="27"/>
      <c r="F191" s="27"/>
      <c r="G191" s="27"/>
      <c r="H191" s="27"/>
      <c r="I191" s="27"/>
      <c r="J191" s="27"/>
      <c r="K191" s="28"/>
      <c r="L191" s="27"/>
    </row>
    <row r="192" spans="1:12" x14ac:dyDescent="0.25">
      <c r="A192" s="27"/>
      <c r="B192" s="27"/>
      <c r="C192" s="28"/>
      <c r="D192" s="27"/>
      <c r="E192" s="27"/>
      <c r="F192" s="27"/>
      <c r="G192" s="27"/>
      <c r="H192" s="27"/>
      <c r="I192" s="27"/>
      <c r="J192" s="27"/>
      <c r="K192" s="28"/>
      <c r="L192" s="27"/>
    </row>
    <row r="193" spans="1:12" x14ac:dyDescent="0.25">
      <c r="A193" s="27"/>
      <c r="B193" s="27"/>
      <c r="C193" s="28"/>
      <c r="D193" s="27"/>
      <c r="E193" s="27"/>
      <c r="F193" s="27"/>
      <c r="G193" s="27"/>
      <c r="H193" s="27"/>
      <c r="I193" s="27"/>
      <c r="J193" s="27"/>
      <c r="K193" s="28"/>
      <c r="L193" s="27"/>
    </row>
    <row r="194" spans="1:12" x14ac:dyDescent="0.25">
      <c r="A194" s="27"/>
      <c r="B194" s="27"/>
      <c r="C194" s="28"/>
      <c r="D194" s="27"/>
      <c r="E194" s="27"/>
      <c r="F194" s="27"/>
      <c r="G194" s="27"/>
      <c r="H194" s="27"/>
      <c r="I194" s="27"/>
      <c r="J194" s="27"/>
      <c r="K194" s="28"/>
      <c r="L194" s="27"/>
    </row>
    <row r="195" spans="1:12" x14ac:dyDescent="0.25">
      <c r="A195" s="27"/>
      <c r="B195" s="27"/>
      <c r="C195" s="28"/>
      <c r="D195" s="27"/>
      <c r="E195" s="27"/>
      <c r="F195" s="27"/>
      <c r="G195" s="27"/>
      <c r="H195" s="27"/>
      <c r="I195" s="27"/>
      <c r="J195" s="27"/>
      <c r="K195" s="28"/>
      <c r="L195" s="27"/>
    </row>
    <row r="196" spans="1:12" x14ac:dyDescent="0.25">
      <c r="A196" s="27"/>
      <c r="B196" s="27"/>
      <c r="C196" s="28"/>
      <c r="D196" s="27"/>
      <c r="E196" s="27"/>
      <c r="F196" s="27"/>
      <c r="G196" s="27"/>
      <c r="H196" s="27"/>
      <c r="I196" s="27"/>
      <c r="J196" s="27"/>
      <c r="K196" s="28"/>
      <c r="L196" s="27"/>
    </row>
    <row r="197" spans="1:12" x14ac:dyDescent="0.25">
      <c r="A197" s="27"/>
      <c r="B197" s="27"/>
      <c r="C197" s="28"/>
      <c r="D197" s="27"/>
      <c r="E197" s="27"/>
      <c r="F197" s="27"/>
      <c r="G197" s="27"/>
      <c r="H197" s="27"/>
      <c r="I197" s="27"/>
      <c r="J197" s="27"/>
      <c r="K197" s="28"/>
      <c r="L197" s="27"/>
    </row>
    <row r="198" spans="1:12" x14ac:dyDescent="0.25">
      <c r="A198" s="27"/>
      <c r="B198" s="27"/>
      <c r="C198" s="28"/>
      <c r="D198" s="27"/>
      <c r="E198" s="27"/>
      <c r="F198" s="27"/>
      <c r="G198" s="27"/>
      <c r="H198" s="27"/>
      <c r="I198" s="27"/>
      <c r="J198" s="27"/>
      <c r="K198" s="28"/>
      <c r="L198" s="27"/>
    </row>
    <row r="199" spans="1:12" x14ac:dyDescent="0.25">
      <c r="A199" s="27"/>
      <c r="B199" s="27"/>
      <c r="C199" s="28"/>
      <c r="D199" s="27"/>
      <c r="E199" s="27"/>
      <c r="F199" s="27"/>
      <c r="G199" s="27"/>
      <c r="H199" s="27"/>
      <c r="I199" s="27"/>
      <c r="J199" s="27"/>
      <c r="K199" s="28"/>
      <c r="L199" s="27"/>
    </row>
    <row r="200" spans="1:12" x14ac:dyDescent="0.25">
      <c r="A200" s="27"/>
      <c r="B200" s="27"/>
      <c r="C200" s="28"/>
      <c r="D200" s="27"/>
      <c r="E200" s="27"/>
      <c r="F200" s="27"/>
      <c r="G200" s="27"/>
      <c r="H200" s="27"/>
      <c r="I200" s="27"/>
      <c r="J200" s="27"/>
      <c r="K200" s="28"/>
      <c r="L200" s="27"/>
    </row>
    <row r="201" spans="1:12" x14ac:dyDescent="0.25">
      <c r="C201" s="5"/>
      <c r="K201" s="5"/>
    </row>
    <row r="202" spans="1:12" x14ac:dyDescent="0.25">
      <c r="C202" s="5"/>
      <c r="K202" s="5"/>
    </row>
    <row r="203" spans="1:12" x14ac:dyDescent="0.25">
      <c r="C203" s="5"/>
      <c r="K203" s="5"/>
    </row>
    <row r="204" spans="1:12" x14ac:dyDescent="0.25">
      <c r="C204" s="5"/>
      <c r="K204" s="5"/>
    </row>
    <row r="205" spans="1:12" x14ac:dyDescent="0.25">
      <c r="C205" s="5"/>
      <c r="K205" s="5"/>
    </row>
    <row r="206" spans="1:12" x14ac:dyDescent="0.25">
      <c r="C206" s="5"/>
      <c r="K206" s="5"/>
    </row>
    <row r="207" spans="1:12" x14ac:dyDescent="0.25">
      <c r="C207" s="5"/>
      <c r="K207" s="5"/>
    </row>
    <row r="208" spans="1:12" x14ac:dyDescent="0.25">
      <c r="C208" s="5"/>
      <c r="K208" s="5"/>
    </row>
    <row r="209" spans="3:11" x14ac:dyDescent="0.25">
      <c r="C209" s="5"/>
      <c r="K209" s="5"/>
    </row>
    <row r="210" spans="3:11" x14ac:dyDescent="0.25">
      <c r="C210" s="5"/>
      <c r="K210" s="5"/>
    </row>
    <row r="211" spans="3:11" x14ac:dyDescent="0.25">
      <c r="C211" s="5"/>
      <c r="K211" s="5"/>
    </row>
    <row r="212" spans="3:11" x14ac:dyDescent="0.25">
      <c r="C212" s="5"/>
      <c r="K212" s="5"/>
    </row>
    <row r="213" spans="3:11" x14ac:dyDescent="0.25">
      <c r="C213" s="5"/>
      <c r="K213" s="5"/>
    </row>
    <row r="214" spans="3:11" x14ac:dyDescent="0.25">
      <c r="C214" s="5"/>
      <c r="K214" s="5"/>
    </row>
    <row r="215" spans="3:11" x14ac:dyDescent="0.25">
      <c r="C215" s="5"/>
      <c r="K215" s="5"/>
    </row>
    <row r="216" spans="3:11" x14ac:dyDescent="0.25">
      <c r="C216" s="5"/>
      <c r="K216" s="5"/>
    </row>
    <row r="217" spans="3:11" x14ac:dyDescent="0.25">
      <c r="C217" s="5"/>
      <c r="K217" s="5"/>
    </row>
    <row r="218" spans="3:11" x14ac:dyDescent="0.25">
      <c r="C218" s="5"/>
      <c r="K218" s="5"/>
    </row>
    <row r="219" spans="3:11" x14ac:dyDescent="0.25">
      <c r="C219" s="5"/>
      <c r="K219" s="5"/>
    </row>
    <row r="220" spans="3:11" x14ac:dyDescent="0.25">
      <c r="C220" s="5"/>
      <c r="K220" s="5"/>
    </row>
    <row r="221" spans="3:11" x14ac:dyDescent="0.25">
      <c r="C221" s="5"/>
      <c r="K221" s="5"/>
    </row>
    <row r="222" spans="3:11" x14ac:dyDescent="0.25">
      <c r="C222" s="5"/>
      <c r="K222" s="5"/>
    </row>
    <row r="223" spans="3:11" x14ac:dyDescent="0.25">
      <c r="C223" s="5"/>
      <c r="K223" s="5"/>
    </row>
    <row r="224" spans="3:11" x14ac:dyDescent="0.25">
      <c r="C224" s="5"/>
      <c r="K224" s="5"/>
    </row>
    <row r="225" spans="3:11" x14ac:dyDescent="0.25">
      <c r="C225" s="5"/>
      <c r="K225" s="5"/>
    </row>
    <row r="226" spans="3:11" x14ac:dyDescent="0.25">
      <c r="C226" s="5"/>
      <c r="K226" s="5"/>
    </row>
    <row r="227" spans="3:11" x14ac:dyDescent="0.25">
      <c r="C227" s="5"/>
      <c r="K227" s="5"/>
    </row>
    <row r="228" spans="3:11" x14ac:dyDescent="0.25">
      <c r="C228" s="5"/>
      <c r="K228" s="5"/>
    </row>
    <row r="229" spans="3:11" x14ac:dyDescent="0.25">
      <c r="C229" s="5"/>
      <c r="K229" s="5"/>
    </row>
    <row r="230" spans="3:11" x14ac:dyDescent="0.25">
      <c r="C230" s="5"/>
      <c r="K230" s="5"/>
    </row>
    <row r="231" spans="3:11" x14ac:dyDescent="0.25">
      <c r="C231" s="5"/>
      <c r="K231" s="5"/>
    </row>
    <row r="232" spans="3:11" x14ac:dyDescent="0.25">
      <c r="C232" s="5"/>
      <c r="K232" s="5"/>
    </row>
    <row r="233" spans="3:11" x14ac:dyDescent="0.25">
      <c r="C233" s="5"/>
      <c r="K233" s="5"/>
    </row>
    <row r="234" spans="3:11" x14ac:dyDescent="0.25">
      <c r="C234" s="5"/>
      <c r="K234" s="5"/>
    </row>
    <row r="235" spans="3:11" x14ac:dyDescent="0.25">
      <c r="C235" s="5"/>
      <c r="K235" s="5"/>
    </row>
    <row r="236" spans="3:11" x14ac:dyDescent="0.25">
      <c r="C236" s="5"/>
      <c r="K236" s="5"/>
    </row>
    <row r="237" spans="3:11" x14ac:dyDescent="0.25">
      <c r="C237" s="5"/>
      <c r="K237" s="5"/>
    </row>
    <row r="238" spans="3:11" x14ac:dyDescent="0.25">
      <c r="C238" s="5"/>
      <c r="K238" s="5"/>
    </row>
    <row r="239" spans="3:11" x14ac:dyDescent="0.25">
      <c r="C239" s="5"/>
      <c r="K239" s="5"/>
    </row>
    <row r="240" spans="3:11" x14ac:dyDescent="0.25">
      <c r="C240" s="5"/>
      <c r="K240" s="5"/>
    </row>
    <row r="241" spans="3:11" x14ac:dyDescent="0.25">
      <c r="C241" s="5"/>
      <c r="K241" s="5"/>
    </row>
    <row r="242" spans="3:11" x14ac:dyDescent="0.25">
      <c r="C242" s="5"/>
      <c r="K242" s="5"/>
    </row>
    <row r="243" spans="3:11" x14ac:dyDescent="0.25">
      <c r="C243" s="5"/>
      <c r="K243" s="5"/>
    </row>
    <row r="244" spans="3:11" x14ac:dyDescent="0.25">
      <c r="C244" s="5"/>
      <c r="K244" s="5"/>
    </row>
    <row r="245" spans="3:11" x14ac:dyDescent="0.25">
      <c r="C245" s="5"/>
      <c r="K245" s="5"/>
    </row>
    <row r="246" spans="3:11" x14ac:dyDescent="0.25">
      <c r="C246" s="5"/>
      <c r="K246" s="5"/>
    </row>
    <row r="247" spans="3:11" x14ac:dyDescent="0.25">
      <c r="C247" s="5"/>
      <c r="K247" s="5"/>
    </row>
    <row r="248" spans="3:11" x14ac:dyDescent="0.25">
      <c r="C248" s="5"/>
      <c r="K248" s="5"/>
    </row>
    <row r="249" spans="3:11" x14ac:dyDescent="0.25">
      <c r="C249" s="5"/>
      <c r="K249" s="5"/>
    </row>
    <row r="250" spans="3:11" x14ac:dyDescent="0.25">
      <c r="C250" s="5"/>
      <c r="K250" s="5"/>
    </row>
    <row r="251" spans="3:11" x14ac:dyDescent="0.25">
      <c r="C251" s="5"/>
      <c r="K251" s="5"/>
    </row>
    <row r="252" spans="3:11" x14ac:dyDescent="0.25">
      <c r="C252" s="5"/>
      <c r="K252" s="5"/>
    </row>
    <row r="253" spans="3:11" x14ac:dyDescent="0.25">
      <c r="C253" s="5"/>
      <c r="K253" s="5"/>
    </row>
    <row r="254" spans="3:11" x14ac:dyDescent="0.25">
      <c r="C254" s="5"/>
      <c r="K254" s="5"/>
    </row>
    <row r="255" spans="3:11" x14ac:dyDescent="0.25">
      <c r="C255" s="5"/>
      <c r="K255" s="5"/>
    </row>
    <row r="256" spans="3:11" x14ac:dyDescent="0.25">
      <c r="C256" s="5"/>
      <c r="K256" s="5"/>
    </row>
    <row r="257" spans="3:11" x14ac:dyDescent="0.25">
      <c r="C257" s="5"/>
      <c r="K257" s="5"/>
    </row>
    <row r="258" spans="3:11" x14ac:dyDescent="0.25">
      <c r="C258" s="5"/>
      <c r="K258" s="5"/>
    </row>
    <row r="259" spans="3:11" x14ac:dyDescent="0.25">
      <c r="C259" s="5"/>
      <c r="K259" s="5"/>
    </row>
    <row r="260" spans="3:11" x14ac:dyDescent="0.25">
      <c r="C260" s="5"/>
      <c r="K260" s="5"/>
    </row>
    <row r="261" spans="3:11" x14ac:dyDescent="0.25">
      <c r="C261" s="5"/>
      <c r="K261" s="5"/>
    </row>
    <row r="262" spans="3:11" x14ac:dyDescent="0.25">
      <c r="C262" s="5"/>
      <c r="K262" s="5"/>
    </row>
    <row r="263" spans="3:11" x14ac:dyDescent="0.25">
      <c r="C263" s="5"/>
      <c r="K263" s="5"/>
    </row>
    <row r="264" spans="3:11" x14ac:dyDescent="0.25">
      <c r="C264" s="5"/>
      <c r="K264" s="5"/>
    </row>
    <row r="265" spans="3:11" x14ac:dyDescent="0.25">
      <c r="C265" s="5"/>
      <c r="K265" s="5"/>
    </row>
    <row r="266" spans="3:11" x14ac:dyDescent="0.25">
      <c r="C266" s="5"/>
      <c r="K266" s="5"/>
    </row>
    <row r="267" spans="3:11" x14ac:dyDescent="0.25">
      <c r="C267" s="5"/>
      <c r="K267" s="5"/>
    </row>
    <row r="268" spans="3:11" x14ac:dyDescent="0.25">
      <c r="C268" s="5"/>
      <c r="K268" s="5"/>
    </row>
    <row r="269" spans="3:11" x14ac:dyDescent="0.25">
      <c r="C269" s="5"/>
      <c r="K269" s="5"/>
    </row>
    <row r="270" spans="3:11" x14ac:dyDescent="0.25">
      <c r="C270" s="5"/>
      <c r="K270" s="5"/>
    </row>
    <row r="271" spans="3:11" x14ac:dyDescent="0.25">
      <c r="C271" s="5"/>
      <c r="K271" s="5"/>
    </row>
    <row r="272" spans="3:11" x14ac:dyDescent="0.25">
      <c r="C272" s="5"/>
      <c r="K272" s="5"/>
    </row>
    <row r="273" spans="3:11" x14ac:dyDescent="0.25">
      <c r="C273" s="5"/>
      <c r="K273" s="5"/>
    </row>
    <row r="274" spans="3:11" x14ac:dyDescent="0.25">
      <c r="C274" s="5"/>
      <c r="K274" s="5"/>
    </row>
    <row r="275" spans="3:11" x14ac:dyDescent="0.25">
      <c r="C275" s="5"/>
      <c r="K275" s="5"/>
    </row>
    <row r="276" spans="3:11" x14ac:dyDescent="0.25">
      <c r="C276" s="5"/>
      <c r="K276" s="5"/>
    </row>
    <row r="277" spans="3:11" x14ac:dyDescent="0.25">
      <c r="C277" s="5"/>
      <c r="K277" s="5"/>
    </row>
    <row r="278" spans="3:11" x14ac:dyDescent="0.25">
      <c r="C278" s="5"/>
      <c r="K278" s="5"/>
    </row>
    <row r="279" spans="3:11" x14ac:dyDescent="0.25">
      <c r="C279" s="5"/>
      <c r="K279" s="5"/>
    </row>
    <row r="280" spans="3:11" x14ac:dyDescent="0.25">
      <c r="C280" s="5"/>
      <c r="K280" s="5"/>
    </row>
    <row r="281" spans="3:11" x14ac:dyDescent="0.25">
      <c r="C281" s="5"/>
      <c r="K281" s="5"/>
    </row>
    <row r="282" spans="3:11" x14ac:dyDescent="0.25">
      <c r="C282" s="5"/>
      <c r="K282" s="5"/>
    </row>
    <row r="283" spans="3:11" x14ac:dyDescent="0.25">
      <c r="C283" s="5"/>
      <c r="K283" s="5"/>
    </row>
    <row r="284" spans="3:11" x14ac:dyDescent="0.25">
      <c r="C284" s="5"/>
      <c r="K284" s="5"/>
    </row>
    <row r="285" spans="3:11" x14ac:dyDescent="0.25">
      <c r="C285" s="5"/>
      <c r="K285" s="5"/>
    </row>
    <row r="286" spans="3:11" x14ac:dyDescent="0.25">
      <c r="C286" s="5"/>
      <c r="K286" s="5"/>
    </row>
    <row r="287" spans="3:11" x14ac:dyDescent="0.25">
      <c r="C287" s="5"/>
      <c r="K287" s="5"/>
    </row>
    <row r="288" spans="3:11" x14ac:dyDescent="0.25">
      <c r="C288" s="5"/>
      <c r="K288" s="5"/>
    </row>
    <row r="289" spans="3:11" x14ac:dyDescent="0.25">
      <c r="C289" s="5"/>
      <c r="K289" s="5"/>
    </row>
    <row r="290" spans="3:11" x14ac:dyDescent="0.25">
      <c r="C290" s="5"/>
      <c r="K290" s="5"/>
    </row>
    <row r="291" spans="3:11" x14ac:dyDescent="0.25">
      <c r="C291" s="5"/>
      <c r="K291" s="5"/>
    </row>
    <row r="292" spans="3:11" x14ac:dyDescent="0.25">
      <c r="C292" s="5"/>
      <c r="K292" s="5"/>
    </row>
    <row r="293" spans="3:11" x14ac:dyDescent="0.25">
      <c r="C293" s="5"/>
      <c r="K293" s="5"/>
    </row>
    <row r="294" spans="3:11" x14ac:dyDescent="0.25">
      <c r="C294" s="5"/>
      <c r="K294" s="5"/>
    </row>
    <row r="295" spans="3:11" x14ac:dyDescent="0.25">
      <c r="C295" s="5"/>
      <c r="K295" s="5"/>
    </row>
    <row r="296" spans="3:11" x14ac:dyDescent="0.25">
      <c r="C296" s="5"/>
      <c r="K296" s="5"/>
    </row>
    <row r="297" spans="3:11" x14ac:dyDescent="0.25">
      <c r="C297" s="5"/>
      <c r="K297" s="5"/>
    </row>
    <row r="298" spans="3:11" x14ac:dyDescent="0.25">
      <c r="C298" s="5"/>
      <c r="K298" s="5"/>
    </row>
    <row r="299" spans="3:11" x14ac:dyDescent="0.25">
      <c r="C299" s="5"/>
      <c r="K299" s="5"/>
    </row>
    <row r="300" spans="3:11" x14ac:dyDescent="0.25">
      <c r="C300" s="5"/>
      <c r="K300" s="5"/>
    </row>
  </sheetData>
  <mergeCells count="2">
    <mergeCell ref="A2:L2"/>
    <mergeCell ref="A1:L1"/>
  </mergeCells>
  <conditionalFormatting sqref="J6:J300">
    <cfRule type="containsText" dxfId="3" priority="1" operator="containsText" text="Open"/>
    <cfRule type="containsText" dxfId="2" priority="3" operator="containsText" text="Approved"/>
    <cfRule type="containsText" dxfId="1" priority="5" operator="containsText" text="In Progress"/>
    <cfRule type="containsText" dxfId="0" priority="6" operator="containsText" text="Draft"/>
  </conditionalFormatting>
  <dataValidations count="3">
    <dataValidation type="list" allowBlank="1" sqref="B6:B300" xr:uid="{00000000-0002-0000-0A00-000000000000}">
      <formula1>"Risk,Issue,Dependency,Action"</formula1>
    </dataValidation>
    <dataValidation type="list" allowBlank="1" sqref="G6:G300" xr:uid="{00000000-0002-0000-0A00-000001000000}">
      <formula1>"High,Medium,Low"</formula1>
    </dataValidation>
    <dataValidation type="list" allowBlank="1" sqref="J6:J300" xr:uid="{00000000-0002-0000-0A00-000002000000}">
      <formula1>"Open,In Progress,Blocked,Closed,Accepted"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A40"/>
  <sheetViews>
    <sheetView workbookViewId="0">
      <pane ySplit="3" topLeftCell="A4" activePane="bottomLeft" state="frozen"/>
      <selection pane="bottomLeft" activeCell="E5" sqref="E5"/>
    </sheetView>
  </sheetViews>
  <sheetFormatPr defaultRowHeight="15" x14ac:dyDescent="0.25"/>
  <cols>
    <col min="1" max="2" width="18" style="1" customWidth="1"/>
    <col min="3" max="3" width="14" style="1" customWidth="1"/>
    <col min="4" max="4" width="18" style="1" customWidth="1"/>
    <col min="5" max="5" width="18" style="65" customWidth="1"/>
    <col min="6" max="6" width="14" style="1" customWidth="1"/>
    <col min="7" max="7" width="18" style="1" customWidth="1"/>
    <col min="8" max="8" width="16" style="1" customWidth="1"/>
    <col min="9" max="9" width="3" style="1" customWidth="1"/>
    <col min="10" max="10" width="18" style="1" customWidth="1"/>
    <col min="11" max="11" width="3" style="1" customWidth="1"/>
    <col min="12" max="12" width="18" style="1" customWidth="1"/>
    <col min="13" max="13" width="3" style="1" customWidth="1"/>
    <col min="14" max="14" width="18" style="1" customWidth="1"/>
    <col min="15" max="15" width="3" style="1" customWidth="1"/>
    <col min="16" max="16" width="12" style="1" customWidth="1"/>
    <col min="17" max="17" width="3" style="1" customWidth="1"/>
    <col min="18" max="18" width="16" style="1" customWidth="1"/>
    <col min="19" max="19" width="3" style="1" customWidth="1"/>
    <col min="20" max="20" width="14" style="1" customWidth="1"/>
    <col min="21" max="21" width="3" style="1" customWidth="1"/>
    <col min="22" max="22" width="18" style="1" customWidth="1"/>
    <col min="23" max="23" width="3" style="1" customWidth="1"/>
    <col min="24" max="24" width="18" style="1" customWidth="1"/>
    <col min="25" max="25" width="3" style="1" customWidth="1"/>
  </cols>
  <sheetData>
    <row r="1" spans="1:53" ht="24" customHeight="1" x14ac:dyDescent="0.25">
      <c r="A1" s="63" t="s">
        <v>52</v>
      </c>
      <c r="B1" s="63"/>
      <c r="C1" s="63"/>
      <c r="D1" s="63"/>
      <c r="E1" s="63"/>
      <c r="F1" s="63"/>
      <c r="G1" s="63"/>
      <c r="H1" s="63"/>
      <c r="I1" s="63"/>
      <c r="J1" s="63"/>
      <c r="K1" s="63"/>
      <c r="L1" s="63"/>
      <c r="M1" s="63"/>
      <c r="N1" s="63"/>
      <c r="O1" s="63"/>
      <c r="P1" s="63"/>
      <c r="Q1" s="63"/>
      <c r="R1" s="63"/>
      <c r="S1" s="63"/>
      <c r="T1" s="63"/>
      <c r="U1" s="63"/>
      <c r="V1" s="63"/>
      <c r="W1" s="63"/>
      <c r="X1" s="63"/>
      <c r="Y1" s="64"/>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spans="1:53" ht="33.950000000000003" customHeight="1" x14ac:dyDescent="0.25">
      <c r="A2" s="60" t="s">
        <v>536</v>
      </c>
      <c r="B2" s="61"/>
      <c r="C2" s="61"/>
      <c r="D2" s="61"/>
      <c r="E2" s="61"/>
      <c r="F2" s="61"/>
      <c r="G2" s="61"/>
      <c r="H2" s="61"/>
      <c r="I2" s="61"/>
      <c r="J2" s="61"/>
      <c r="K2" s="61"/>
      <c r="L2" s="61"/>
      <c r="M2" s="61"/>
      <c r="N2" s="61"/>
      <c r="O2" s="61"/>
      <c r="P2" s="61"/>
      <c r="Q2" s="61"/>
      <c r="R2" s="61"/>
      <c r="S2" s="61"/>
      <c r="T2" s="61"/>
      <c r="U2" s="61"/>
      <c r="V2" s="61"/>
      <c r="W2" s="61"/>
      <c r="X2" s="61"/>
      <c r="Y2" s="6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spans="1:53" x14ac:dyDescent="0.25">
      <c r="A3" s="17"/>
      <c r="B3" s="17"/>
      <c r="C3" s="17"/>
      <c r="D3" s="17"/>
      <c r="E3" s="105"/>
      <c r="F3" s="17"/>
      <c r="G3" s="17"/>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ht="20.100000000000001" customHeight="1" x14ac:dyDescent="0.25">
      <c r="A4" s="51" t="s">
        <v>537</v>
      </c>
      <c r="B4" s="52"/>
      <c r="C4" s="51" t="s">
        <v>110</v>
      </c>
      <c r="D4" s="52" t="s">
        <v>595</v>
      </c>
      <c r="E4" s="106" t="s">
        <v>98</v>
      </c>
      <c r="F4" s="51" t="s">
        <v>111</v>
      </c>
      <c r="G4" s="104" t="s">
        <v>644</v>
      </c>
      <c r="H4" s="51" t="s">
        <v>66</v>
      </c>
      <c r="I4" s="52"/>
      <c r="J4" s="51" t="s">
        <v>207</v>
      </c>
      <c r="K4" s="52"/>
      <c r="L4" s="51" t="s">
        <v>212</v>
      </c>
      <c r="M4" s="52"/>
      <c r="N4" s="51" t="s">
        <v>298</v>
      </c>
      <c r="O4" s="52"/>
      <c r="P4" s="51" t="s">
        <v>395</v>
      </c>
      <c r="Q4" s="52"/>
      <c r="R4" s="51" t="s">
        <v>430</v>
      </c>
      <c r="S4" s="52"/>
      <c r="T4" s="51" t="s">
        <v>538</v>
      </c>
      <c r="U4" s="52"/>
      <c r="V4" s="51" t="s">
        <v>355</v>
      </c>
      <c r="W4" s="52"/>
      <c r="X4" s="51" t="s">
        <v>402</v>
      </c>
      <c r="Y4" s="7"/>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row>
    <row r="5" spans="1:53" ht="18" customHeight="1" x14ac:dyDescent="0.25">
      <c r="A5" s="18" t="s">
        <v>141</v>
      </c>
      <c r="B5" s="30"/>
      <c r="C5" s="18" t="s">
        <v>150</v>
      </c>
      <c r="D5" s="30"/>
      <c r="E5" s="107"/>
      <c r="F5" s="18" t="s">
        <v>150</v>
      </c>
      <c r="G5" s="30" t="s">
        <v>190</v>
      </c>
      <c r="H5" s="8" t="s">
        <v>341</v>
      </c>
      <c r="I5" s="9"/>
      <c r="J5" s="8" t="s">
        <v>539</v>
      </c>
      <c r="K5" s="9"/>
      <c r="L5" s="8" t="s">
        <v>540</v>
      </c>
      <c r="M5" s="9"/>
      <c r="N5" s="8" t="s">
        <v>13</v>
      </c>
      <c r="O5" s="9"/>
      <c r="P5" s="8" t="s">
        <v>541</v>
      </c>
      <c r="Q5" s="9"/>
      <c r="R5" s="8" t="s">
        <v>356</v>
      </c>
      <c r="S5" s="9"/>
      <c r="T5" s="8" t="s">
        <v>523</v>
      </c>
      <c r="U5" s="9"/>
      <c r="V5" s="8" t="s">
        <v>542</v>
      </c>
      <c r="W5" s="9"/>
      <c r="X5" s="8" t="s">
        <v>422</v>
      </c>
      <c r="Y5" s="9"/>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row>
    <row r="6" spans="1:53" ht="18" customHeight="1" x14ac:dyDescent="0.25">
      <c r="A6" s="31" t="s">
        <v>159</v>
      </c>
      <c r="B6" s="17"/>
      <c r="C6" s="31" t="s">
        <v>168</v>
      </c>
      <c r="D6" s="17" t="s">
        <v>645</v>
      </c>
      <c r="E6" s="105" t="s">
        <v>140</v>
      </c>
      <c r="F6" s="31" t="s">
        <v>168</v>
      </c>
      <c r="G6" s="17" t="s">
        <v>638</v>
      </c>
      <c r="H6" s="6" t="s">
        <v>184</v>
      </c>
      <c r="I6" s="2"/>
      <c r="J6" s="6" t="s">
        <v>543</v>
      </c>
      <c r="K6" s="2"/>
      <c r="L6" s="6" t="s">
        <v>263</v>
      </c>
      <c r="M6" s="2"/>
      <c r="N6" s="6" t="s">
        <v>544</v>
      </c>
      <c r="O6" s="2"/>
      <c r="P6" s="6" t="s">
        <v>325</v>
      </c>
      <c r="Q6" s="2"/>
      <c r="R6" s="6" t="s">
        <v>357</v>
      </c>
      <c r="S6" s="2"/>
      <c r="T6" s="6" t="s">
        <v>545</v>
      </c>
      <c r="U6" s="2"/>
      <c r="V6" s="6" t="s">
        <v>386</v>
      </c>
      <c r="W6" s="2"/>
      <c r="X6" s="6" t="s">
        <v>546</v>
      </c>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row>
    <row r="7" spans="1:53" ht="18" customHeight="1" x14ac:dyDescent="0.25">
      <c r="A7" s="17"/>
      <c r="B7" s="17"/>
      <c r="C7" s="31" t="s">
        <v>547</v>
      </c>
      <c r="D7" s="17" t="s">
        <v>646</v>
      </c>
      <c r="E7" s="105" t="s">
        <v>651</v>
      </c>
      <c r="F7" s="31" t="s">
        <v>547</v>
      </c>
      <c r="G7" s="17" t="s">
        <v>630</v>
      </c>
      <c r="H7" s="6" t="s">
        <v>548</v>
      </c>
      <c r="I7" s="2"/>
      <c r="J7" s="6" t="s">
        <v>279</v>
      </c>
      <c r="K7" s="2"/>
      <c r="L7" s="6" t="s">
        <v>282</v>
      </c>
      <c r="M7" s="2"/>
      <c r="N7" s="6" t="s">
        <v>326</v>
      </c>
      <c r="O7" s="2"/>
      <c r="P7" s="6" t="s">
        <v>549</v>
      </c>
      <c r="Q7" s="2"/>
      <c r="R7" s="6" t="s">
        <v>358</v>
      </c>
      <c r="S7" s="2"/>
      <c r="T7" s="6" t="s">
        <v>530</v>
      </c>
      <c r="U7" s="2"/>
      <c r="V7" s="6" t="s">
        <v>418</v>
      </c>
      <c r="W7" s="2"/>
      <c r="X7" s="6" t="s">
        <v>550</v>
      </c>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row>
    <row r="8" spans="1:53" ht="18" customHeight="1" x14ac:dyDescent="0.25">
      <c r="A8" s="17"/>
      <c r="B8" s="17"/>
      <c r="C8" s="17"/>
      <c r="D8" s="17" t="s">
        <v>146</v>
      </c>
      <c r="E8" s="105" t="s">
        <v>561</v>
      </c>
      <c r="F8" s="17"/>
      <c r="G8" s="17" t="s">
        <v>548</v>
      </c>
      <c r="H8" s="6" t="s">
        <v>496</v>
      </c>
      <c r="I8" s="2"/>
      <c r="J8" s="6" t="s">
        <v>259</v>
      </c>
      <c r="K8" s="2"/>
      <c r="L8" s="6" t="s">
        <v>551</v>
      </c>
      <c r="M8" s="2"/>
      <c r="N8" s="6" t="s">
        <v>552</v>
      </c>
      <c r="O8" s="2"/>
      <c r="P8" s="2"/>
      <c r="Q8" s="2"/>
      <c r="R8" s="6" t="s">
        <v>553</v>
      </c>
      <c r="S8" s="2"/>
      <c r="T8" s="6" t="s">
        <v>554</v>
      </c>
      <c r="U8" s="2"/>
      <c r="V8" s="6" t="s">
        <v>555</v>
      </c>
      <c r="W8" s="2"/>
      <c r="X8" s="6" t="s">
        <v>556</v>
      </c>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row>
    <row r="9" spans="1:53" ht="18" customHeight="1" x14ac:dyDescent="0.25">
      <c r="A9" s="17"/>
      <c r="B9" s="17"/>
      <c r="C9" s="17"/>
      <c r="D9" s="17" t="s">
        <v>164</v>
      </c>
      <c r="E9" s="105" t="s">
        <v>633</v>
      </c>
      <c r="F9" s="17"/>
      <c r="G9" s="17" t="s">
        <v>570</v>
      </c>
      <c r="H9" s="6" t="s">
        <v>190</v>
      </c>
      <c r="I9" s="2"/>
      <c r="J9" s="6" t="s">
        <v>557</v>
      </c>
      <c r="K9" s="2"/>
      <c r="L9" s="6" t="s">
        <v>558</v>
      </c>
      <c r="M9" s="2"/>
      <c r="N9" s="6" t="s">
        <v>559</v>
      </c>
      <c r="O9" s="2"/>
      <c r="P9" s="2"/>
      <c r="Q9" s="2"/>
      <c r="R9" s="6" t="s">
        <v>560</v>
      </c>
      <c r="S9" s="2"/>
      <c r="T9" s="2"/>
      <c r="U9" s="2"/>
      <c r="V9" s="6" t="s">
        <v>561</v>
      </c>
      <c r="W9" s="2"/>
      <c r="X9" s="6" t="s">
        <v>562</v>
      </c>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row>
    <row r="10" spans="1:53" ht="18" customHeight="1" x14ac:dyDescent="0.25">
      <c r="A10" s="17"/>
      <c r="B10" s="17"/>
      <c r="C10" s="17"/>
      <c r="D10" s="17" t="s">
        <v>647</v>
      </c>
      <c r="E10" s="105" t="s">
        <v>652</v>
      </c>
      <c r="F10" s="17"/>
      <c r="G10" s="17"/>
      <c r="H10" s="6" t="s">
        <v>563</v>
      </c>
      <c r="I10" s="2"/>
      <c r="J10" s="6" t="s">
        <v>564</v>
      </c>
      <c r="K10" s="2"/>
      <c r="L10" s="2"/>
      <c r="M10" s="2"/>
      <c r="N10" s="6" t="s">
        <v>565</v>
      </c>
      <c r="O10" s="2"/>
      <c r="P10" s="2"/>
      <c r="Q10" s="2"/>
      <c r="R10" s="6" t="s">
        <v>566</v>
      </c>
      <c r="S10" s="2"/>
      <c r="T10" s="2"/>
      <c r="U10" s="2"/>
      <c r="V10" s="6" t="s">
        <v>165</v>
      </c>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row>
    <row r="11" spans="1:53" ht="18" customHeight="1" x14ac:dyDescent="0.25">
      <c r="A11" s="17"/>
      <c r="B11" s="17"/>
      <c r="C11" s="17"/>
      <c r="D11" s="17" t="s">
        <v>648</v>
      </c>
      <c r="E11" s="105" t="s">
        <v>653</v>
      </c>
      <c r="F11" s="17"/>
      <c r="G11" s="17"/>
      <c r="H11" s="6" t="s">
        <v>546</v>
      </c>
      <c r="I11" s="2"/>
      <c r="J11" s="6" t="s">
        <v>567</v>
      </c>
      <c r="K11" s="2"/>
      <c r="L11" s="2"/>
      <c r="M11" s="2"/>
      <c r="N11" s="6" t="s">
        <v>568</v>
      </c>
      <c r="O11" s="2"/>
      <c r="P11" s="2"/>
      <c r="Q11" s="2"/>
      <c r="R11" s="6" t="s">
        <v>569</v>
      </c>
      <c r="S11" s="2"/>
      <c r="T11" s="2"/>
      <c r="U11" s="2"/>
      <c r="V11" s="2"/>
      <c r="W11" s="2"/>
      <c r="X11" s="2"/>
      <c r="Y11" s="2"/>
    </row>
    <row r="12" spans="1:53" ht="18" customHeight="1" x14ac:dyDescent="0.25">
      <c r="A12" s="17"/>
      <c r="B12" s="17"/>
      <c r="C12" s="17"/>
      <c r="D12" s="17" t="s">
        <v>649</v>
      </c>
      <c r="E12" s="105" t="s">
        <v>654</v>
      </c>
      <c r="F12" s="17"/>
      <c r="G12" s="17"/>
      <c r="H12" s="6" t="s">
        <v>570</v>
      </c>
      <c r="I12" s="2"/>
      <c r="J12" s="6" t="s">
        <v>571</v>
      </c>
      <c r="K12" s="2"/>
      <c r="L12" s="2"/>
      <c r="M12" s="2"/>
      <c r="N12" s="6" t="s">
        <v>335</v>
      </c>
      <c r="O12" s="2"/>
      <c r="P12" s="2"/>
      <c r="Q12" s="2"/>
      <c r="R12" s="2"/>
      <c r="S12" s="2"/>
      <c r="T12" s="2"/>
      <c r="U12" s="2"/>
      <c r="V12" s="2"/>
      <c r="W12" s="2"/>
      <c r="X12" s="2"/>
      <c r="Y12" s="2"/>
    </row>
    <row r="13" spans="1:53" ht="18" customHeight="1" x14ac:dyDescent="0.25">
      <c r="A13" s="17"/>
      <c r="B13" s="17"/>
      <c r="C13" s="17"/>
      <c r="D13" s="17" t="s">
        <v>650</v>
      </c>
      <c r="E13" s="105" t="s">
        <v>650</v>
      </c>
      <c r="F13" s="17"/>
      <c r="G13" s="17"/>
      <c r="H13" s="6" t="s">
        <v>572</v>
      </c>
      <c r="I13" s="2"/>
      <c r="J13" s="2"/>
      <c r="K13" s="2"/>
      <c r="L13" s="2"/>
      <c r="M13" s="2"/>
      <c r="N13" s="6" t="s">
        <v>573</v>
      </c>
      <c r="O13" s="2"/>
      <c r="P13" s="2"/>
      <c r="Q13" s="2"/>
      <c r="R13" s="2"/>
      <c r="S13" s="2"/>
      <c r="T13" s="2"/>
      <c r="U13" s="2"/>
      <c r="V13" s="2"/>
      <c r="W13" s="2"/>
      <c r="X13" s="2"/>
      <c r="Y13" s="2"/>
    </row>
    <row r="14" spans="1:53" ht="18" customHeight="1" x14ac:dyDescent="0.25">
      <c r="A14" s="17"/>
      <c r="B14" s="17"/>
      <c r="C14" s="17"/>
      <c r="D14" s="17"/>
      <c r="E14" s="105"/>
      <c r="F14" s="17"/>
      <c r="G14" s="17"/>
      <c r="H14" s="2"/>
      <c r="I14" s="2"/>
      <c r="J14" s="2"/>
      <c r="K14" s="2"/>
      <c r="L14" s="2"/>
      <c r="M14" s="2"/>
      <c r="N14" s="6" t="s">
        <v>574</v>
      </c>
      <c r="O14" s="2"/>
      <c r="P14" s="2"/>
      <c r="Q14" s="2"/>
      <c r="R14" s="2"/>
      <c r="S14" s="2"/>
      <c r="T14" s="2"/>
      <c r="U14" s="2"/>
      <c r="V14" s="2"/>
      <c r="W14" s="2"/>
      <c r="X14" s="2"/>
      <c r="Y14" s="2"/>
    </row>
    <row r="15" spans="1:53" ht="18" customHeight="1" x14ac:dyDescent="0.25">
      <c r="A15" s="17"/>
      <c r="B15" s="17"/>
      <c r="C15" s="17"/>
      <c r="D15" s="17"/>
      <c r="E15" s="105"/>
      <c r="F15" s="17"/>
      <c r="G15" s="17"/>
      <c r="H15" s="2"/>
      <c r="I15" s="2"/>
      <c r="J15" s="2"/>
      <c r="K15" s="2"/>
      <c r="L15" s="2"/>
      <c r="M15" s="2"/>
      <c r="N15" s="6" t="s">
        <v>575</v>
      </c>
      <c r="O15" s="2"/>
      <c r="P15" s="2"/>
      <c r="Q15" s="2"/>
      <c r="R15" s="2"/>
      <c r="S15" s="2"/>
      <c r="T15" s="2"/>
      <c r="U15" s="2"/>
      <c r="V15" s="2"/>
      <c r="W15" s="2"/>
      <c r="X15" s="2"/>
      <c r="Y15" s="2"/>
    </row>
    <row r="16" spans="1:53" ht="18" customHeight="1" x14ac:dyDescent="0.25">
      <c r="A16" s="17"/>
      <c r="B16" s="17"/>
      <c r="C16" s="17"/>
      <c r="D16" s="17"/>
      <c r="E16" s="105"/>
      <c r="F16" s="17"/>
      <c r="G16" s="17"/>
      <c r="H16" s="2"/>
      <c r="I16" s="2"/>
      <c r="J16" s="2"/>
      <c r="K16" s="2"/>
      <c r="L16" s="2"/>
      <c r="M16" s="2"/>
      <c r="N16" s="2"/>
      <c r="O16" s="2"/>
      <c r="P16" s="2"/>
      <c r="Q16" s="2"/>
      <c r="R16" s="2"/>
      <c r="S16" s="2"/>
      <c r="T16" s="2"/>
      <c r="U16" s="2"/>
      <c r="V16" s="2"/>
      <c r="W16" s="2"/>
      <c r="X16" s="2"/>
      <c r="Y16" s="2"/>
    </row>
    <row r="17" spans="1:25" ht="18" customHeight="1" x14ac:dyDescent="0.25">
      <c r="A17" s="17"/>
      <c r="B17" s="17"/>
      <c r="C17" s="17"/>
      <c r="D17" s="17"/>
      <c r="E17" s="105"/>
      <c r="F17" s="17"/>
      <c r="G17" s="17"/>
      <c r="H17" s="2"/>
      <c r="I17" s="2"/>
      <c r="J17" s="2"/>
      <c r="K17" s="2"/>
      <c r="L17" s="2"/>
      <c r="M17" s="2"/>
      <c r="N17" s="2"/>
      <c r="O17" s="2"/>
      <c r="P17" s="2"/>
      <c r="Q17" s="2"/>
      <c r="R17" s="2"/>
      <c r="S17" s="2"/>
      <c r="T17" s="2"/>
      <c r="U17" s="2"/>
      <c r="V17" s="2"/>
      <c r="W17" s="2"/>
      <c r="X17" s="2"/>
      <c r="Y17" s="2"/>
    </row>
    <row r="18" spans="1:25" ht="18" customHeight="1" x14ac:dyDescent="0.25">
      <c r="A18" s="17"/>
      <c r="B18" s="17"/>
      <c r="C18" s="17"/>
      <c r="D18" s="17"/>
      <c r="E18" s="105"/>
      <c r="F18" s="17"/>
      <c r="G18" s="17"/>
      <c r="H18" s="2"/>
      <c r="I18" s="2"/>
      <c r="J18" s="2"/>
      <c r="K18" s="2"/>
      <c r="L18" s="2"/>
      <c r="M18" s="2"/>
      <c r="N18" s="2"/>
      <c r="O18" s="2"/>
      <c r="P18" s="2"/>
      <c r="Q18" s="2"/>
      <c r="R18" s="2"/>
      <c r="S18" s="2"/>
      <c r="T18" s="2"/>
      <c r="U18" s="2"/>
      <c r="V18" s="2"/>
      <c r="W18" s="2"/>
      <c r="X18" s="2"/>
      <c r="Y18" s="2"/>
    </row>
    <row r="19" spans="1:25" ht="18" customHeight="1" x14ac:dyDescent="0.25">
      <c r="A19" s="17"/>
      <c r="B19" s="17"/>
      <c r="C19" s="17"/>
      <c r="D19" s="17"/>
      <c r="E19" s="105"/>
      <c r="F19" s="17"/>
      <c r="G19" s="17"/>
      <c r="H19" s="2"/>
      <c r="I19" s="2"/>
      <c r="J19" s="2"/>
      <c r="K19" s="2"/>
      <c r="L19" s="2"/>
      <c r="M19" s="2"/>
      <c r="N19" s="2"/>
      <c r="O19" s="2"/>
      <c r="P19" s="2"/>
      <c r="Q19" s="2"/>
      <c r="R19" s="2"/>
      <c r="S19" s="2"/>
      <c r="T19" s="2"/>
      <c r="U19" s="2"/>
      <c r="V19" s="2"/>
      <c r="W19" s="2"/>
      <c r="X19" s="2"/>
      <c r="Y19" s="2"/>
    </row>
    <row r="20" spans="1:25" ht="18" customHeight="1" x14ac:dyDescent="0.25">
      <c r="A20" s="17"/>
      <c r="B20" s="17"/>
      <c r="C20" s="17"/>
      <c r="D20" s="17"/>
      <c r="E20" s="105"/>
      <c r="F20" s="17"/>
      <c r="G20" s="17"/>
      <c r="H20" s="2"/>
      <c r="I20" s="2"/>
      <c r="J20" s="2"/>
      <c r="K20" s="2"/>
      <c r="L20" s="2"/>
      <c r="M20" s="2"/>
      <c r="N20" s="2"/>
      <c r="O20" s="2"/>
      <c r="P20" s="2"/>
      <c r="Q20" s="2"/>
      <c r="R20" s="2"/>
      <c r="S20" s="2"/>
      <c r="T20" s="2"/>
      <c r="U20" s="2"/>
      <c r="V20" s="2"/>
      <c r="W20" s="2"/>
      <c r="X20" s="2"/>
      <c r="Y20" s="2"/>
    </row>
    <row r="21" spans="1:25" x14ac:dyDescent="0.25">
      <c r="A21" s="19"/>
      <c r="B21" s="19"/>
      <c r="C21" s="19"/>
      <c r="D21" s="19"/>
      <c r="E21" s="108"/>
      <c r="F21" s="19"/>
      <c r="G21" s="19"/>
    </row>
    <row r="22" spans="1:25" x14ac:dyDescent="0.25">
      <c r="A22" s="19"/>
      <c r="B22" s="19"/>
      <c r="C22" s="19"/>
      <c r="D22" s="19"/>
      <c r="E22" s="108"/>
      <c r="F22" s="19"/>
      <c r="G22" s="19"/>
    </row>
    <row r="23" spans="1:25" x14ac:dyDescent="0.25">
      <c r="A23" s="19"/>
      <c r="B23" s="19"/>
      <c r="C23" s="19"/>
      <c r="D23" s="19"/>
      <c r="E23" s="108"/>
      <c r="F23" s="19"/>
      <c r="G23" s="19"/>
    </row>
    <row r="24" spans="1:25" x14ac:dyDescent="0.25">
      <c r="A24" s="19"/>
      <c r="B24" s="19"/>
      <c r="C24" s="19"/>
      <c r="D24" s="19"/>
      <c r="E24" s="108"/>
      <c r="F24" s="19"/>
      <c r="G24" s="19"/>
    </row>
    <row r="25" spans="1:25" x14ac:dyDescent="0.25">
      <c r="A25" s="19"/>
      <c r="B25" s="19"/>
      <c r="C25" s="19"/>
      <c r="D25" s="19"/>
      <c r="E25" s="108"/>
      <c r="F25" s="19"/>
      <c r="G25" s="19"/>
    </row>
    <row r="26" spans="1:25" x14ac:dyDescent="0.25">
      <c r="A26" s="19"/>
      <c r="B26" s="19"/>
      <c r="C26" s="19"/>
      <c r="D26" s="19"/>
      <c r="E26" s="108"/>
      <c r="F26" s="19"/>
      <c r="G26" s="19"/>
    </row>
    <row r="27" spans="1:25" x14ac:dyDescent="0.25">
      <c r="A27" s="19"/>
      <c r="B27" s="19"/>
      <c r="C27" s="19"/>
      <c r="D27" s="19"/>
      <c r="E27" s="108"/>
      <c r="F27" s="19"/>
      <c r="G27" s="19"/>
    </row>
    <row r="28" spans="1:25" x14ac:dyDescent="0.25">
      <c r="A28" s="19"/>
      <c r="B28" s="19"/>
      <c r="C28" s="19"/>
      <c r="D28" s="19"/>
      <c r="E28" s="108"/>
      <c r="F28" s="19"/>
      <c r="G28" s="19"/>
    </row>
    <row r="29" spans="1:25" x14ac:dyDescent="0.25">
      <c r="A29" s="19"/>
      <c r="B29" s="19"/>
      <c r="C29" s="19"/>
      <c r="D29" s="19"/>
      <c r="E29" s="108"/>
      <c r="F29" s="19"/>
      <c r="G29" s="19"/>
    </row>
    <row r="30" spans="1:25" x14ac:dyDescent="0.25">
      <c r="A30" s="19"/>
      <c r="B30" s="19"/>
      <c r="C30" s="19"/>
      <c r="D30" s="19"/>
      <c r="E30" s="108"/>
      <c r="F30" s="19"/>
      <c r="G30" s="19"/>
    </row>
    <row r="31" spans="1:25" x14ac:dyDescent="0.25">
      <c r="A31" s="19"/>
      <c r="B31" s="19"/>
      <c r="C31" s="19"/>
      <c r="D31" s="19"/>
      <c r="E31" s="108"/>
      <c r="F31" s="19"/>
      <c r="G31" s="19"/>
    </row>
    <row r="32" spans="1:25" x14ac:dyDescent="0.25">
      <c r="A32" s="19"/>
      <c r="B32" s="19"/>
      <c r="C32" s="19"/>
      <c r="D32" s="19"/>
      <c r="E32" s="108"/>
      <c r="F32" s="19"/>
      <c r="G32" s="19"/>
    </row>
    <row r="33" spans="1:7" x14ac:dyDescent="0.25">
      <c r="A33" s="19"/>
      <c r="B33" s="19"/>
      <c r="C33" s="19"/>
      <c r="D33" s="19"/>
      <c r="E33" s="108"/>
      <c r="F33" s="19"/>
      <c r="G33" s="19"/>
    </row>
    <row r="34" spans="1:7" x14ac:dyDescent="0.25">
      <c r="A34" s="19"/>
      <c r="B34" s="19"/>
      <c r="C34" s="19"/>
      <c r="D34" s="19"/>
      <c r="E34" s="108"/>
      <c r="F34" s="19"/>
      <c r="G34" s="19"/>
    </row>
    <row r="35" spans="1:7" x14ac:dyDescent="0.25">
      <c r="A35" s="19"/>
      <c r="B35" s="19"/>
      <c r="C35" s="19"/>
      <c r="D35" s="19"/>
      <c r="E35" s="108"/>
      <c r="F35" s="19"/>
      <c r="G35" s="19"/>
    </row>
    <row r="36" spans="1:7" x14ac:dyDescent="0.25">
      <c r="A36" s="19"/>
      <c r="B36" s="19"/>
      <c r="C36" s="19"/>
      <c r="D36" s="19"/>
      <c r="E36" s="108"/>
      <c r="F36" s="19"/>
      <c r="G36" s="19"/>
    </row>
    <row r="37" spans="1:7" x14ac:dyDescent="0.25">
      <c r="A37" s="19"/>
      <c r="B37" s="19"/>
      <c r="C37" s="19"/>
      <c r="D37" s="19"/>
      <c r="E37" s="108"/>
      <c r="F37" s="19"/>
      <c r="G37" s="19"/>
    </row>
    <row r="38" spans="1:7" x14ac:dyDescent="0.25">
      <c r="A38" s="19"/>
      <c r="B38" s="19"/>
      <c r="C38" s="19"/>
      <c r="D38" s="19"/>
      <c r="E38" s="108"/>
      <c r="F38" s="19"/>
      <c r="G38" s="19"/>
    </row>
    <row r="39" spans="1:7" x14ac:dyDescent="0.25">
      <c r="A39" s="19"/>
      <c r="B39" s="19"/>
      <c r="C39" s="19"/>
      <c r="D39" s="19"/>
      <c r="E39" s="108"/>
      <c r="F39" s="19"/>
      <c r="G39" s="19"/>
    </row>
    <row r="40" spans="1:7" x14ac:dyDescent="0.25">
      <c r="A40" s="19"/>
      <c r="B40" s="19"/>
      <c r="C40" s="19"/>
      <c r="D40" s="19"/>
      <c r="E40" s="108"/>
      <c r="F40" s="19"/>
      <c r="G40" s="19"/>
    </row>
  </sheetData>
  <mergeCells count="2">
    <mergeCell ref="A2:Y2"/>
    <mergeCell ref="A1:Y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05"/>
  <sheetViews>
    <sheetView workbookViewId="0">
      <pane ySplit="3" topLeftCell="A4" activePane="bottomLeft" state="frozen"/>
      <selection pane="bottomLeft"/>
    </sheetView>
  </sheetViews>
  <sheetFormatPr defaultRowHeight="15" x14ac:dyDescent="0.25"/>
  <cols>
    <col min="1" max="1" width="22" style="1" customWidth="1"/>
    <col min="2" max="2" width="14" style="1" customWidth="1"/>
    <col min="3" max="3" width="3" style="1" customWidth="1"/>
    <col min="4" max="4" width="20" style="1" customWidth="1"/>
    <col min="5" max="5" width="18" style="1" customWidth="1"/>
    <col min="6" max="7" width="12" style="1" customWidth="1"/>
    <col min="8" max="8" width="10" style="1" customWidth="1"/>
    <col min="9" max="9" width="14" style="1" customWidth="1"/>
    <col min="10" max="10" width="18" style="1" customWidth="1"/>
    <col min="11" max="11" width="3" style="1" customWidth="1"/>
    <col min="12" max="12" width="16" style="1" customWidth="1"/>
    <col min="13" max="13" width="28" style="1" customWidth="1"/>
    <col min="14" max="15" width="14" style="1" customWidth="1"/>
    <col min="16" max="17" width="12" style="1" customWidth="1"/>
  </cols>
  <sheetData>
    <row r="1" spans="1:17" ht="24" customHeight="1" x14ac:dyDescent="0.25">
      <c r="A1" s="53" t="s">
        <v>576</v>
      </c>
      <c r="B1" s="53"/>
      <c r="C1" s="53"/>
      <c r="D1" s="53"/>
      <c r="E1" s="53"/>
      <c r="F1" s="53"/>
      <c r="G1" s="53"/>
      <c r="H1" s="53"/>
      <c r="I1" s="53"/>
      <c r="J1" s="53"/>
      <c r="K1" s="53"/>
      <c r="L1" s="53"/>
      <c r="M1" s="53"/>
      <c r="N1" s="38"/>
      <c r="O1" s="38"/>
      <c r="P1" s="38"/>
      <c r="Q1" s="38"/>
    </row>
    <row r="2" spans="1:17" ht="33.950000000000003" customHeight="1" x14ac:dyDescent="0.25">
      <c r="A2" s="54" t="s">
        <v>577</v>
      </c>
      <c r="B2" s="54"/>
      <c r="C2" s="54"/>
      <c r="D2" s="54"/>
      <c r="E2" s="54"/>
      <c r="F2" s="54"/>
      <c r="G2" s="54"/>
      <c r="H2" s="54"/>
      <c r="I2" s="54"/>
      <c r="J2" s="54"/>
      <c r="K2" s="54"/>
      <c r="L2" s="54"/>
      <c r="M2" s="54"/>
    </row>
    <row r="4" spans="1:17" ht="20.100000000000001" customHeight="1" x14ac:dyDescent="0.25">
      <c r="A4" s="55" t="s">
        <v>2</v>
      </c>
      <c r="B4" s="55" t="s">
        <v>3</v>
      </c>
      <c r="C4" s="55"/>
      <c r="D4" s="55" t="s">
        <v>578</v>
      </c>
      <c r="E4" s="55"/>
      <c r="F4" s="55"/>
      <c r="G4" s="55"/>
      <c r="H4" s="55"/>
      <c r="I4" s="55"/>
      <c r="J4" s="55"/>
      <c r="K4" s="55"/>
      <c r="L4" s="55"/>
      <c r="M4" s="55"/>
    </row>
    <row r="5" spans="1:17" ht="21.95" customHeight="1" x14ac:dyDescent="0.25">
      <c r="A5" s="36" t="s">
        <v>10</v>
      </c>
      <c r="B5" s="36">
        <f>COUNTA('02 Source Inventory'!B6:B500)</f>
        <v>2</v>
      </c>
      <c r="C5" s="35"/>
      <c r="D5" s="35" t="s">
        <v>93</v>
      </c>
      <c r="E5" s="35" t="s">
        <v>579</v>
      </c>
      <c r="F5" s="35" t="s">
        <v>110</v>
      </c>
      <c r="G5" s="35" t="s">
        <v>111</v>
      </c>
      <c r="H5" s="35" t="s">
        <v>580</v>
      </c>
      <c r="I5" s="35" t="s">
        <v>581</v>
      </c>
      <c r="J5" s="35" t="s">
        <v>95</v>
      </c>
      <c r="K5" s="35"/>
      <c r="L5" s="35"/>
      <c r="M5" s="35"/>
    </row>
    <row r="6" spans="1:17" ht="20.100000000000001" customHeight="1" x14ac:dyDescent="0.25">
      <c r="A6" s="36" t="s">
        <v>16</v>
      </c>
      <c r="B6" s="36">
        <f>COUNTIF('02 Source Inventory'!U6:U500,"Yes")</f>
        <v>2</v>
      </c>
      <c r="C6" s="35"/>
      <c r="D6" s="36" t="str">
        <f>IF('02 Source Inventory'!B6&lt;&gt;"",'02 Source Inventory'!B6,"")</f>
        <v>Enterprise Licensing System</v>
      </c>
      <c r="E6" s="36" t="str">
        <f>IF(D6&lt;&gt;"",'02 Source Inventory'!C6,"")</f>
        <v>Professional Licensing</v>
      </c>
      <c r="F6" s="36" t="str">
        <f>IF(D6&lt;&gt;"",'02 Source Inventory'!S6,"")</f>
        <v>High</v>
      </c>
      <c r="G6" s="36" t="str">
        <f>IF(D6&lt;&gt;"",'02 Source Inventory'!T6,"")</f>
        <v>High</v>
      </c>
      <c r="H6" s="36" t="str">
        <f>IF(D6&lt;&gt;"",'02 Source Inventory'!U6,"")</f>
        <v>Yes</v>
      </c>
      <c r="I6" s="36" t="str">
        <f ca="1">IF(D6&lt;&gt;"",IFERROR(_xludf.XLOOKUP(D6,'03 Bronze Intake'!B$6:B$367,'03 Bronze Intake'!V$6:V$367,""),""),"")</f>
        <v/>
      </c>
      <c r="J6" s="36" t="str">
        <f>IF(D6&lt;&gt;"",'02 Source Inventory'!D6,"")</f>
        <v>Licensing Director</v>
      </c>
      <c r="K6" s="35"/>
      <c r="L6" s="35"/>
      <c r="M6" s="35"/>
    </row>
    <row r="7" spans="1:17" ht="20.100000000000001" customHeight="1" x14ac:dyDescent="0.25">
      <c r="A7" s="36" t="s">
        <v>21</v>
      </c>
      <c r="B7" s="36">
        <f>COUNTIF('09 Decisions'!O6:O500,"Open")+COUNTIF('09 Decisions'!O6:O500,"Draft")+COUNTIF('09 Decisions'!O6:O500,"In Progress")</f>
        <v>1</v>
      </c>
      <c r="C7" s="35"/>
      <c r="D7" s="36" t="str">
        <f>IF('02 Source Inventory'!B7&lt;&gt;"",'02 Source Inventory'!B7,"")</f>
        <v>Grant Payments File</v>
      </c>
      <c r="E7" s="36" t="str">
        <f>IF(D7&lt;&gt;"",'02 Source Inventory'!C7,"")</f>
        <v>Department of Finance</v>
      </c>
      <c r="F7" s="36" t="str">
        <f>IF(D7&lt;&gt;"",'02 Source Inventory'!S7,"")</f>
        <v>Medium</v>
      </c>
      <c r="G7" s="36" t="str">
        <f>IF(D7&lt;&gt;"",'02 Source Inventory'!T7,"")</f>
        <v>Medium</v>
      </c>
      <c r="H7" s="36" t="str">
        <f>IF(D7&lt;&gt;"",'02 Source Inventory'!U7,"")</f>
        <v>Yes</v>
      </c>
      <c r="I7" s="36" t="str">
        <f ca="1">IF(D7&lt;&gt;"",IFERROR(_xludf.XLOOKUP(D7,'03 Bronze Intake'!B$6:B$367,'03 Bronze Intake'!V$6:V$367,""),""),"")</f>
        <v/>
      </c>
      <c r="J7" s="36" t="str">
        <f>IF(D7&lt;&gt;"",'02 Source Inventory'!D7,"")</f>
        <v>Chief Financial Officer</v>
      </c>
      <c r="K7" s="35"/>
      <c r="L7" s="35"/>
      <c r="M7" s="35"/>
    </row>
    <row r="8" spans="1:17" ht="20.100000000000001" customHeight="1" x14ac:dyDescent="0.25">
      <c r="A8" s="36" t="s">
        <v>582</v>
      </c>
      <c r="B8" s="36">
        <f>COUNTIF('10 RAID Log'!J6:J500,"Open")+COUNTIF('10 RAID Log'!J6:J500,"In Progress")+COUNTIF('10 RAID Log'!J6:J500,"Blocked")</f>
        <v>2</v>
      </c>
      <c r="C8" s="35"/>
      <c r="D8" s="36" t="str">
        <f>IF('02 Source Inventory'!B8&lt;&gt;"",'02 Source Inventory'!B8,"")</f>
        <v/>
      </c>
      <c r="E8" s="36" t="str">
        <f>IF(D8&lt;&gt;"",'02 Source Inventory'!C8,"")</f>
        <v/>
      </c>
      <c r="F8" s="36" t="str">
        <f>IF(D8&lt;&gt;"",'02 Source Inventory'!S8,"")</f>
        <v/>
      </c>
      <c r="G8" s="36" t="str">
        <f>IF(D8&lt;&gt;"",'02 Source Inventory'!T8,"")</f>
        <v/>
      </c>
      <c r="H8" s="36" t="str">
        <f>IF(D8&lt;&gt;"",'02 Source Inventory'!U8,"")</f>
        <v/>
      </c>
      <c r="I8" s="36" t="str">
        <f>IF(D8&lt;&gt;"",IFERROR(_xludf.XLOOKUP(D8,'03 Bronze Intake'!B$6:B$367,'03 Bronze Intake'!V$6:V$367,""),""),"")</f>
        <v/>
      </c>
      <c r="J8" s="36" t="str">
        <f>IF(D8&lt;&gt;"",'02 Source Inventory'!D8,"")</f>
        <v/>
      </c>
      <c r="K8" s="35"/>
      <c r="L8" s="35"/>
      <c r="M8" s="35"/>
    </row>
    <row r="9" spans="1:17" ht="20.100000000000001" customHeight="1" x14ac:dyDescent="0.25">
      <c r="A9" s="36" t="s">
        <v>32</v>
      </c>
      <c r="B9" s="36">
        <f>COUNTA('06 Gold Product'!B6:B500)</f>
        <v>1</v>
      </c>
      <c r="C9" s="35"/>
      <c r="D9" s="36" t="str">
        <f>IF('02 Source Inventory'!B9&lt;&gt;"",'02 Source Inventory'!B9,"")</f>
        <v/>
      </c>
      <c r="E9" s="36" t="str">
        <f>IF(D9&lt;&gt;"",'02 Source Inventory'!C9,"")</f>
        <v/>
      </c>
      <c r="F9" s="36" t="str">
        <f>IF(D9&lt;&gt;"",'02 Source Inventory'!S9,"")</f>
        <v/>
      </c>
      <c r="G9" s="36" t="str">
        <f>IF(D9&lt;&gt;"",'02 Source Inventory'!T9,"")</f>
        <v/>
      </c>
      <c r="H9" s="36" t="str">
        <f>IF(D9&lt;&gt;"",'02 Source Inventory'!U9,"")</f>
        <v/>
      </c>
      <c r="I9" s="36" t="str">
        <f>IF(D9&lt;&gt;"",IFERROR(_xludf.XLOOKUP(D9,'03 Bronze Intake'!B$6:B$367,'03 Bronze Intake'!V$6:V$367,""),""),"")</f>
        <v/>
      </c>
      <c r="J9" s="36" t="str">
        <f>IF(D9&lt;&gt;"",'02 Source Inventory'!D9,"")</f>
        <v/>
      </c>
      <c r="K9" s="35"/>
      <c r="L9" s="35"/>
      <c r="M9" s="35"/>
    </row>
    <row r="10" spans="1:17" ht="20.100000000000001" customHeight="1" x14ac:dyDescent="0.25">
      <c r="A10" s="35"/>
      <c r="B10" s="35"/>
      <c r="C10" s="35"/>
      <c r="D10" s="36" t="str">
        <f>IF('02 Source Inventory'!B10&lt;&gt;"",'02 Source Inventory'!B10,"")</f>
        <v/>
      </c>
      <c r="E10" s="36" t="str">
        <f>IF(D10&lt;&gt;"",'02 Source Inventory'!C10,"")</f>
        <v/>
      </c>
      <c r="F10" s="36" t="str">
        <f>IF(D10&lt;&gt;"",'02 Source Inventory'!S10,"")</f>
        <v/>
      </c>
      <c r="G10" s="36" t="str">
        <f>IF(D10&lt;&gt;"",'02 Source Inventory'!T10,"")</f>
        <v/>
      </c>
      <c r="H10" s="36" t="str">
        <f>IF(D10&lt;&gt;"",'02 Source Inventory'!U10,"")</f>
        <v/>
      </c>
      <c r="I10" s="36" t="str">
        <f>IF(D10&lt;&gt;"",IFERROR(_xludf.XLOOKUP(D10,'03 Bronze Intake'!B$6:B$367,'03 Bronze Intake'!V$6:V$367,""),""),"")</f>
        <v/>
      </c>
      <c r="J10" s="36" t="str">
        <f>IF(D10&lt;&gt;"",'02 Source Inventory'!D10,"")</f>
        <v/>
      </c>
      <c r="K10" s="35"/>
      <c r="L10" s="35"/>
      <c r="M10" s="35"/>
    </row>
    <row r="11" spans="1:17" ht="20.100000000000001" customHeight="1" x14ac:dyDescent="0.25">
      <c r="A11" s="35"/>
      <c r="B11" s="35"/>
      <c r="C11" s="35"/>
      <c r="D11" s="36" t="str">
        <f>IF('02 Source Inventory'!B11&lt;&gt;"",'02 Source Inventory'!B11,"")</f>
        <v/>
      </c>
      <c r="E11" s="36" t="str">
        <f>IF(D11&lt;&gt;"",'02 Source Inventory'!C11,"")</f>
        <v/>
      </c>
      <c r="F11" s="36" t="str">
        <f>IF(D11&lt;&gt;"",'02 Source Inventory'!S11,"")</f>
        <v/>
      </c>
      <c r="G11" s="36" t="str">
        <f>IF(D11&lt;&gt;"",'02 Source Inventory'!T11,"")</f>
        <v/>
      </c>
      <c r="H11" s="36" t="str">
        <f>IF(D11&lt;&gt;"",'02 Source Inventory'!U11,"")</f>
        <v/>
      </c>
      <c r="I11" s="36" t="str">
        <f>IF(D11&lt;&gt;"",IFERROR(_xludf.XLOOKUP(D11,'03 Bronze Intake'!B$6:B$367,'03 Bronze Intake'!V$6:V$367,""),""),"")</f>
        <v/>
      </c>
      <c r="J11" s="36" t="str">
        <f>IF(D11&lt;&gt;"",'02 Source Inventory'!D11,"")</f>
        <v/>
      </c>
      <c r="K11" s="35"/>
      <c r="L11" s="35"/>
      <c r="M11" s="35"/>
    </row>
    <row r="12" spans="1:17" ht="20.100000000000001" customHeight="1" x14ac:dyDescent="0.25">
      <c r="A12" s="32" t="s">
        <v>21</v>
      </c>
      <c r="B12" s="32"/>
      <c r="C12" s="32"/>
      <c r="D12" s="36"/>
      <c r="E12" s="36"/>
      <c r="F12" s="36"/>
      <c r="G12" s="36" t="str">
        <f>IF(D12&lt;&gt;"",'02 Source Inventory'!T12,"")</f>
        <v/>
      </c>
      <c r="H12" s="36" t="s">
        <v>582</v>
      </c>
      <c r="I12" s="36"/>
      <c r="J12" s="36"/>
      <c r="K12" s="32"/>
      <c r="L12" s="32"/>
      <c r="M12" s="32"/>
    </row>
    <row r="13" spans="1:17" ht="20.100000000000001" customHeight="1" x14ac:dyDescent="0.25">
      <c r="A13" s="35" t="s">
        <v>458</v>
      </c>
      <c r="B13" s="35" t="s">
        <v>460</v>
      </c>
      <c r="C13" s="35" t="s">
        <v>461</v>
      </c>
      <c r="D13" s="36" t="s">
        <v>462</v>
      </c>
      <c r="E13" s="36" t="s">
        <v>470</v>
      </c>
      <c r="F13" s="36" t="s">
        <v>66</v>
      </c>
      <c r="G13" s="36">
        <f>IF(D13&lt;&gt;"",'02 Source Inventory'!T13,"")</f>
        <v>0</v>
      </c>
      <c r="H13" s="36" t="s">
        <v>503</v>
      </c>
      <c r="I13" s="36" t="s">
        <v>504</v>
      </c>
      <c r="J13" s="36" t="s">
        <v>505</v>
      </c>
      <c r="K13" s="35" t="s">
        <v>506</v>
      </c>
      <c r="L13" s="35" t="s">
        <v>178</v>
      </c>
      <c r="M13" s="35" t="s">
        <v>66</v>
      </c>
    </row>
    <row r="14" spans="1:17" ht="20.100000000000001" customHeight="1" x14ac:dyDescent="0.25">
      <c r="A14" s="37" t="str">
        <f t="array" ref="A14">IF('09 Decisions'!A6&lt;&gt;"",'09 Decisions'!A6,"")</f>
        <v>DEC-001</v>
      </c>
      <c r="B14" s="37" t="str">
        <f>IF(A14&lt;&gt;"",'09 Decisions'!C6,"")</f>
        <v>Vendor access design</v>
      </c>
      <c r="C14" s="37" t="str">
        <f>IF(A14&lt;&gt;"",'09 Decisions'!D6,"")</f>
        <v>Enterprise Licensing System</v>
      </c>
      <c r="D14" s="37" t="str">
        <f>IF(A14&lt;&gt;"",'09 Decisions'!E6,"")</f>
        <v>Silver will be designed for enterprise reuse first; vendor-specific shaping will occur through downstream curated extracts or Gold products.</v>
      </c>
      <c r="E14" s="37" t="str">
        <f>IF(A14&lt;&gt;"",'09 Decisions'!M6,"")</f>
        <v>Data strategy lead</v>
      </c>
      <c r="F14" s="37" t="str">
        <f>IF(A14&lt;&gt;"",'09 Decisions'!O6,"")</f>
        <v>Open</v>
      </c>
      <c r="G14" s="37">
        <f>IF(D14&lt;&gt;"",'02 Source Inventory'!T14,"")</f>
        <v>0</v>
      </c>
      <c r="H14" s="37" t="str">
        <f t="array" ref="H14:H15">IF('10 RAID Log'!A6&lt;&gt;"",'10 RAID Log'!A6,"")</f>
        <v>RAID-001</v>
      </c>
      <c r="I14" s="37" t="str">
        <f>IF(H14&lt;&gt;"",'10 RAID Log'!B6,"")</f>
        <v>Risk</v>
      </c>
      <c r="J14" s="37" t="str">
        <f>IF(H14&lt;&gt;"",'10 RAID Log'!D6,"")</f>
        <v>Enterprise Licensing System</v>
      </c>
      <c r="K14" s="37" t="str">
        <f>IF(H14&lt;&gt;"",'10 RAID Log'!E6,"")</f>
        <v>One source contains roughly 900 variables, which could overwhelm the first workshop if the team tries to define every field in one session.</v>
      </c>
      <c r="L14" s="37" t="str">
        <f>IF(H14&lt;&gt;"",'10 RAID Log'!I6,"")</f>
        <v>Facilitator</v>
      </c>
      <c r="M14" s="37" t="str">
        <f>IF(H14&lt;&gt;"",'10 RAID Log'!J6,"")</f>
        <v>Open</v>
      </c>
    </row>
    <row r="15" spans="1:17" ht="20.100000000000001" customHeight="1" x14ac:dyDescent="0.25">
      <c r="A15" s="37" t="str">
        <f>IF('09 Decisions'!A7&lt;&gt;"",'09 Decisions'!A7,"")</f>
        <v/>
      </c>
      <c r="B15" s="37" t="str">
        <f>IF(A15&lt;&gt;"",'09 Decisions'!C7,"")</f>
        <v/>
      </c>
      <c r="C15" s="37" t="str">
        <f>IF(A15&lt;&gt;"",'09 Decisions'!D7,"")</f>
        <v/>
      </c>
      <c r="D15" s="37" t="str">
        <f>IF(A15&lt;&gt;"",'09 Decisions'!E7,"")</f>
        <v/>
      </c>
      <c r="E15" s="37" t="str">
        <f>IF(A15&lt;&gt;"",'09 Decisions'!M7,"")</f>
        <v/>
      </c>
      <c r="F15" s="37" t="str">
        <f>IF(A15&lt;&gt;"",'09 Decisions'!O7,"")</f>
        <v/>
      </c>
      <c r="G15" s="37" t="str">
        <f>IF(D15&lt;&gt;"",'02 Source Inventory'!T15,"")</f>
        <v/>
      </c>
      <c r="H15" s="37" t="str">
        <v>RAID-001</v>
      </c>
      <c r="I15" s="37" t="str">
        <f>IF(H15&lt;&gt;"",'10 RAID Log'!B7,"")</f>
        <v>Dependency</v>
      </c>
      <c r="J15" s="37" t="str">
        <f>IF(H15&lt;&gt;"",'10 RAID Log'!D7,"")</f>
        <v>Grant Payments File</v>
      </c>
      <c r="K15" s="37" t="str">
        <f>IF(H15&lt;&gt;"",'10 RAID Log'!E7,"")</f>
        <v>Chart-of-accounts reference list is not yet confirmed.</v>
      </c>
      <c r="L15" s="37" t="str">
        <f>IF(H15&lt;&gt;"",'10 RAID Log'!I7,"")</f>
        <v>Finance steward</v>
      </c>
      <c r="M15" s="37" t="str">
        <f>IF(H15&lt;&gt;"",'10 RAID Log'!J7,"")</f>
        <v>Open</v>
      </c>
    </row>
    <row r="16" spans="1:17" ht="20.100000000000001" customHeight="1" x14ac:dyDescent="0.25">
      <c r="A16" s="37" t="str">
        <f>IF('09 Decisions'!A8&lt;&gt;"",'09 Decisions'!A8,"")</f>
        <v/>
      </c>
      <c r="B16" s="37" t="str">
        <f>IF(A16&lt;&gt;"",'09 Decisions'!C8,"")</f>
        <v/>
      </c>
      <c r="C16" s="37" t="str">
        <f>IF(A16&lt;&gt;"",'09 Decisions'!D8,"")</f>
        <v/>
      </c>
      <c r="D16" s="37" t="str">
        <f>IF(A16&lt;&gt;"",'09 Decisions'!E8,"")</f>
        <v/>
      </c>
      <c r="E16" s="37" t="str">
        <f>IF(A16&lt;&gt;"",'09 Decisions'!M8,"")</f>
        <v/>
      </c>
      <c r="F16" s="37" t="str">
        <f>IF(A16&lt;&gt;"",'09 Decisions'!O8,"")</f>
        <v/>
      </c>
      <c r="G16" s="37" t="str">
        <f>IF(D16&lt;&gt;"",'02 Source Inventory'!T16,"")</f>
        <v/>
      </c>
      <c r="H16" s="37" t="str">
        <f>IF('10 RAID Log'!A8&lt;&gt;"",'10 RAID Log'!A8,"")</f>
        <v/>
      </c>
      <c r="I16" s="37" t="str">
        <f>IF(H16&lt;&gt;"",'10 RAID Log'!B8,"")</f>
        <v/>
      </c>
      <c r="J16" s="37" t="str">
        <f>IF(H16&lt;&gt;"",'10 RAID Log'!D8,"")</f>
        <v/>
      </c>
      <c r="K16" s="37" t="str">
        <f>IF(H16&lt;&gt;"",'10 RAID Log'!E8,"")</f>
        <v/>
      </c>
      <c r="L16" s="37" t="str">
        <f>IF(H16&lt;&gt;"",'10 RAID Log'!I8,"")</f>
        <v/>
      </c>
      <c r="M16" s="37" t="str">
        <f>IF(H16&lt;&gt;"",'10 RAID Log'!J8,"")</f>
        <v/>
      </c>
    </row>
    <row r="17" spans="1:13" ht="20.100000000000001" customHeight="1" x14ac:dyDescent="0.25">
      <c r="A17" s="37" t="str">
        <f>IF('09 Decisions'!A9&lt;&gt;"",'09 Decisions'!A9,"")</f>
        <v/>
      </c>
      <c r="B17" s="37" t="str">
        <f>IF(A17&lt;&gt;"",'09 Decisions'!C9,"")</f>
        <v/>
      </c>
      <c r="C17" s="37" t="str">
        <f>IF(A17&lt;&gt;"",'09 Decisions'!D9,"")</f>
        <v/>
      </c>
      <c r="D17" s="37" t="str">
        <f>IF(A17&lt;&gt;"",'09 Decisions'!E9,"")</f>
        <v/>
      </c>
      <c r="E17" s="37" t="str">
        <f>IF(A17&lt;&gt;"",'09 Decisions'!M9,"")</f>
        <v/>
      </c>
      <c r="F17" s="37" t="str">
        <f>IF(A17&lt;&gt;"",'09 Decisions'!O9,"")</f>
        <v/>
      </c>
      <c r="G17" s="37" t="str">
        <f>IF(D17&lt;&gt;"",'02 Source Inventory'!T17,"")</f>
        <v/>
      </c>
      <c r="H17" s="37" t="str">
        <f>IF('10 RAID Log'!A9&lt;&gt;"",'10 RAID Log'!A9,"")</f>
        <v/>
      </c>
      <c r="I17" s="37" t="str">
        <f>IF(H17&lt;&gt;"",'10 RAID Log'!B9,"")</f>
        <v/>
      </c>
      <c r="J17" s="37" t="str">
        <f>IF(H17&lt;&gt;"",'10 RAID Log'!D9,"")</f>
        <v/>
      </c>
      <c r="K17" s="37" t="str">
        <f>IF(H17&lt;&gt;"",'10 RAID Log'!E9,"")</f>
        <v/>
      </c>
      <c r="L17" s="37" t="str">
        <f>IF(H17&lt;&gt;"",'10 RAID Log'!I9,"")</f>
        <v/>
      </c>
      <c r="M17" s="37" t="str">
        <f>IF(H17&lt;&gt;"",'10 RAID Log'!J9,"")</f>
        <v/>
      </c>
    </row>
    <row r="18" spans="1:13" ht="20.100000000000001" customHeight="1" x14ac:dyDescent="0.25">
      <c r="A18" s="37" t="str">
        <f>IF('09 Decisions'!A10&lt;&gt;"",'09 Decisions'!A10,"")</f>
        <v/>
      </c>
      <c r="B18" s="37" t="str">
        <f>IF(A18&lt;&gt;"",'09 Decisions'!C10,"")</f>
        <v/>
      </c>
      <c r="C18" s="37" t="str">
        <f>IF(A18&lt;&gt;"",'09 Decisions'!D10,"")</f>
        <v/>
      </c>
      <c r="D18" s="37" t="str">
        <f>IF(A18&lt;&gt;"",'09 Decisions'!E10,"")</f>
        <v/>
      </c>
      <c r="E18" s="37" t="str">
        <f>IF(A18&lt;&gt;"",'09 Decisions'!M10,"")</f>
        <v/>
      </c>
      <c r="F18" s="37" t="str">
        <f>IF(A18&lt;&gt;"",'09 Decisions'!O10,"")</f>
        <v/>
      </c>
      <c r="G18" s="37" t="str">
        <f>IF(D18&lt;&gt;"",'02 Source Inventory'!T18,"")</f>
        <v/>
      </c>
      <c r="H18" s="37" t="str">
        <f>IF('10 RAID Log'!A10&lt;&gt;"",'10 RAID Log'!A10,"")</f>
        <v/>
      </c>
      <c r="I18" s="37" t="str">
        <f>IF(H18&lt;&gt;"",'10 RAID Log'!B10,"")</f>
        <v/>
      </c>
      <c r="J18" s="37" t="str">
        <f>IF(H18&lt;&gt;"",'10 RAID Log'!D10,"")</f>
        <v/>
      </c>
      <c r="K18" s="37" t="str">
        <f>IF(H18&lt;&gt;"",'10 RAID Log'!E10,"")</f>
        <v/>
      </c>
      <c r="L18" s="37" t="str">
        <f>IF(H18&lt;&gt;"",'10 RAID Log'!I10,"")</f>
        <v/>
      </c>
      <c r="M18" s="37" t="str">
        <f>IF(H18&lt;&gt;"",'10 RAID Log'!J10,"")</f>
        <v/>
      </c>
    </row>
    <row r="19" spans="1:13" ht="20.100000000000001" customHeight="1" x14ac:dyDescent="0.25">
      <c r="A19" s="37" t="str">
        <f>IF('09 Decisions'!A11&lt;&gt;"",'09 Decisions'!A11,"")</f>
        <v/>
      </c>
      <c r="B19" s="37" t="str">
        <f>IF(A19&lt;&gt;"",'09 Decisions'!C11,"")</f>
        <v/>
      </c>
      <c r="C19" s="37" t="str">
        <f>IF(A19&lt;&gt;"",'09 Decisions'!D11,"")</f>
        <v/>
      </c>
      <c r="D19" s="37" t="str">
        <f>IF(A19&lt;&gt;"",'09 Decisions'!E11,"")</f>
        <v/>
      </c>
      <c r="E19" s="37" t="str">
        <f>IF(A19&lt;&gt;"",'09 Decisions'!M11,"")</f>
        <v/>
      </c>
      <c r="F19" s="37" t="str">
        <f>IF(A19&lt;&gt;"",'09 Decisions'!O11,"")</f>
        <v/>
      </c>
      <c r="G19" s="37" t="str">
        <f>IF(D19&lt;&gt;"",'02 Source Inventory'!T19,"")</f>
        <v/>
      </c>
      <c r="H19" s="37" t="str">
        <f>IF('10 RAID Log'!A11&lt;&gt;"",'10 RAID Log'!A11,"")</f>
        <v/>
      </c>
      <c r="I19" s="37" t="str">
        <f>IF(H19&lt;&gt;"",'10 RAID Log'!B11,"")</f>
        <v/>
      </c>
      <c r="J19" s="37" t="str">
        <f>IF(H19&lt;&gt;"",'10 RAID Log'!D11,"")</f>
        <v/>
      </c>
      <c r="K19" s="37" t="str">
        <f>IF(H19&lt;&gt;"",'10 RAID Log'!E11,"")</f>
        <v/>
      </c>
      <c r="L19" s="37" t="str">
        <f>IF(H19&lt;&gt;"",'10 RAID Log'!I11,"")</f>
        <v/>
      </c>
      <c r="M19" s="37" t="str">
        <f>IF(H19&lt;&gt;"",'10 RAID Log'!J11,"")</f>
        <v/>
      </c>
    </row>
    <row r="20" spans="1:13" ht="20.100000000000001" customHeight="1" x14ac:dyDescent="0.25">
      <c r="A20" s="37" t="str">
        <f>IF('09 Decisions'!A12&lt;&gt;"",'09 Decisions'!A12,"")</f>
        <v/>
      </c>
      <c r="B20" s="37" t="str">
        <f>IF(A20&lt;&gt;"",'09 Decisions'!C12,"")</f>
        <v/>
      </c>
      <c r="C20" s="37" t="str">
        <f>IF(A20&lt;&gt;"",'09 Decisions'!D12,"")</f>
        <v/>
      </c>
      <c r="D20" s="37" t="str">
        <f>IF(A20&lt;&gt;"",'09 Decisions'!E12,"")</f>
        <v/>
      </c>
      <c r="E20" s="37" t="str">
        <f>IF(A20&lt;&gt;"",'09 Decisions'!M12,"")</f>
        <v/>
      </c>
      <c r="F20" s="37" t="str">
        <f>IF(A20&lt;&gt;"",'09 Decisions'!O12,"")</f>
        <v/>
      </c>
      <c r="G20" s="37" t="str">
        <f>IF(D20&lt;&gt;"",'02 Source Inventory'!T20,"")</f>
        <v/>
      </c>
      <c r="H20" s="37" t="str">
        <f>IF('10 RAID Log'!A12&lt;&gt;"",'10 RAID Log'!A12,"")</f>
        <v/>
      </c>
      <c r="I20" s="37" t="str">
        <f>IF(H20&lt;&gt;"",'10 RAID Log'!B12,"")</f>
        <v/>
      </c>
      <c r="J20" s="37" t="str">
        <f>IF(H20&lt;&gt;"",'10 RAID Log'!D12,"")</f>
        <v/>
      </c>
      <c r="K20" s="37" t="str">
        <f>IF(H20&lt;&gt;"",'10 RAID Log'!E12,"")</f>
        <v/>
      </c>
      <c r="L20" s="37" t="str">
        <f>IF(H20&lt;&gt;"",'10 RAID Log'!I12,"")</f>
        <v/>
      </c>
      <c r="M20" s="37" t="str">
        <f>IF(H20&lt;&gt;"",'10 RAID Log'!J12,"")</f>
        <v/>
      </c>
    </row>
    <row r="21" spans="1:13" ht="20.100000000000001" customHeight="1" x14ac:dyDescent="0.25">
      <c r="A21" s="37" t="str">
        <f>IF('09 Decisions'!A13&lt;&gt;"",'09 Decisions'!A13,"")</f>
        <v/>
      </c>
      <c r="B21" s="37" t="str">
        <f>IF(A21&lt;&gt;"",'09 Decisions'!C13,"")</f>
        <v/>
      </c>
      <c r="C21" s="37" t="str">
        <f>IF(A21&lt;&gt;"",'09 Decisions'!D13,"")</f>
        <v/>
      </c>
      <c r="D21" s="37" t="str">
        <f>IF(A21&lt;&gt;"",'09 Decisions'!E13,"")</f>
        <v/>
      </c>
      <c r="E21" s="37" t="str">
        <f>IF(A21&lt;&gt;"",'09 Decisions'!M13,"")</f>
        <v/>
      </c>
      <c r="F21" s="37" t="str">
        <f>IF(A21&lt;&gt;"",'09 Decisions'!O13,"")</f>
        <v/>
      </c>
      <c r="G21" s="37" t="str">
        <f>IF(D21&lt;&gt;"",'02 Source Inventory'!T21,"")</f>
        <v/>
      </c>
      <c r="H21" s="37" t="str">
        <f>IF('10 RAID Log'!A13&lt;&gt;"",'10 RAID Log'!A13,"")</f>
        <v/>
      </c>
      <c r="I21" s="37" t="str">
        <f>IF(H21&lt;&gt;"",'10 RAID Log'!B13,"")</f>
        <v/>
      </c>
      <c r="J21" s="37" t="str">
        <f>IF(H21&lt;&gt;"",'10 RAID Log'!D13,"")</f>
        <v/>
      </c>
      <c r="K21" s="37" t="str">
        <f>IF(H21&lt;&gt;"",'10 RAID Log'!E13,"")</f>
        <v/>
      </c>
      <c r="L21" s="37" t="str">
        <f>IF(H21&lt;&gt;"",'10 RAID Log'!I13,"")</f>
        <v/>
      </c>
      <c r="M21" s="37" t="str">
        <f>IF(H21&lt;&gt;"",'10 RAID Log'!J13,"")</f>
        <v/>
      </c>
    </row>
    <row r="22" spans="1:13" ht="20.100000000000001" customHeight="1" x14ac:dyDescent="0.25">
      <c r="A22" s="37" t="str">
        <f>IF('09 Decisions'!A14&lt;&gt;"",'09 Decisions'!A14,"")</f>
        <v/>
      </c>
      <c r="B22" s="37" t="str">
        <f>IF(A22&lt;&gt;"",'09 Decisions'!C14,"")</f>
        <v/>
      </c>
      <c r="C22" s="37" t="str">
        <f>IF(A22&lt;&gt;"",'09 Decisions'!D14,"")</f>
        <v/>
      </c>
      <c r="D22" s="37" t="str">
        <f>IF(A22&lt;&gt;"",'09 Decisions'!E14,"")</f>
        <v/>
      </c>
      <c r="E22" s="37" t="str">
        <f>IF(A22&lt;&gt;"",'09 Decisions'!M14,"")</f>
        <v/>
      </c>
      <c r="F22" s="37" t="str">
        <f>IF(A22&lt;&gt;"",'09 Decisions'!O14,"")</f>
        <v/>
      </c>
      <c r="G22" s="37" t="str">
        <f>IF(D22&lt;&gt;"",'02 Source Inventory'!T22,"")</f>
        <v/>
      </c>
      <c r="H22" s="37" t="str">
        <f>IF('10 RAID Log'!A14&lt;&gt;"",'10 RAID Log'!A14,"")</f>
        <v/>
      </c>
      <c r="I22" s="37" t="str">
        <f>IF(H22&lt;&gt;"",'10 RAID Log'!B14,"")</f>
        <v/>
      </c>
      <c r="J22" s="37" t="str">
        <f>IF(H22&lt;&gt;"",'10 RAID Log'!D14,"")</f>
        <v/>
      </c>
      <c r="K22" s="37" t="str">
        <f>IF(H22&lt;&gt;"",'10 RAID Log'!E14,"")</f>
        <v/>
      </c>
      <c r="L22" s="37" t="str">
        <f>IF(H22&lt;&gt;"",'10 RAID Log'!I14,"")</f>
        <v/>
      </c>
      <c r="M22" s="37" t="str">
        <f>IF(H22&lt;&gt;"",'10 RAID Log'!J14,"")</f>
        <v/>
      </c>
    </row>
    <row r="23" spans="1:13" ht="20.100000000000001" customHeight="1" x14ac:dyDescent="0.25">
      <c r="A23" s="37" t="str">
        <f>IF('09 Decisions'!A15&lt;&gt;"",'09 Decisions'!A15,"")</f>
        <v/>
      </c>
      <c r="B23" s="37" t="str">
        <f>IF(A23&lt;&gt;"",'09 Decisions'!C15,"")</f>
        <v/>
      </c>
      <c r="C23" s="37" t="str">
        <f>IF(A23&lt;&gt;"",'09 Decisions'!D15,"")</f>
        <v/>
      </c>
      <c r="D23" s="37" t="str">
        <f>IF(A23&lt;&gt;"",'09 Decisions'!E15,"")</f>
        <v/>
      </c>
      <c r="E23" s="37" t="str">
        <f>IF(A23&lt;&gt;"",'09 Decisions'!M15,"")</f>
        <v/>
      </c>
      <c r="F23" s="37" t="str">
        <f>IF(A23&lt;&gt;"",'09 Decisions'!O15,"")</f>
        <v/>
      </c>
      <c r="G23" s="37" t="str">
        <f>IF(D23&lt;&gt;"",'02 Source Inventory'!T23,"")</f>
        <v/>
      </c>
      <c r="H23" s="37" t="str">
        <f>IF('10 RAID Log'!A15&lt;&gt;"",'10 RAID Log'!A15,"")</f>
        <v/>
      </c>
      <c r="I23" s="37" t="str">
        <f>IF(H23&lt;&gt;"",'10 RAID Log'!B15,"")</f>
        <v/>
      </c>
      <c r="J23" s="37" t="str">
        <f>IF(H23&lt;&gt;"",'10 RAID Log'!D15,"")</f>
        <v/>
      </c>
      <c r="K23" s="37" t="str">
        <f>IF(H23&lt;&gt;"",'10 RAID Log'!E15,"")</f>
        <v/>
      </c>
      <c r="L23" s="37" t="str">
        <f>IF(H23&lt;&gt;"",'10 RAID Log'!I15,"")</f>
        <v/>
      </c>
      <c r="M23" s="37" t="str">
        <f>IF(H23&lt;&gt;"",'10 RAID Log'!J15,"")</f>
        <v/>
      </c>
    </row>
    <row r="24" spans="1:13" ht="20.100000000000001" customHeight="1" x14ac:dyDescent="0.25">
      <c r="A24" s="37" t="str">
        <f>IF('09 Decisions'!A16&lt;&gt;"",'09 Decisions'!A16,"")</f>
        <v/>
      </c>
      <c r="B24" s="37" t="str">
        <f>IF(A24&lt;&gt;"",'09 Decisions'!C16,"")</f>
        <v/>
      </c>
      <c r="C24" s="37" t="str">
        <f>IF(A24&lt;&gt;"",'09 Decisions'!D16,"")</f>
        <v/>
      </c>
      <c r="D24" s="37" t="str">
        <f>IF(A24&lt;&gt;"",'09 Decisions'!E16,"")</f>
        <v/>
      </c>
      <c r="E24" s="37" t="str">
        <f>IF(A24&lt;&gt;"",'09 Decisions'!M16,"")</f>
        <v/>
      </c>
      <c r="F24" s="37" t="str">
        <f>IF(A24&lt;&gt;"",'09 Decisions'!O16,"")</f>
        <v/>
      </c>
      <c r="G24" s="37" t="str">
        <f>IF(D24&lt;&gt;"",'02 Source Inventory'!T24,"")</f>
        <v/>
      </c>
      <c r="H24" s="37" t="str">
        <f>IF('10 RAID Log'!A16&lt;&gt;"",'10 RAID Log'!A16,"")</f>
        <v/>
      </c>
      <c r="I24" s="37" t="str">
        <f>IF(H24&lt;&gt;"",'10 RAID Log'!B16,"")</f>
        <v/>
      </c>
      <c r="J24" s="37" t="str">
        <f>IF(H24&lt;&gt;"",'10 RAID Log'!D16,"")</f>
        <v/>
      </c>
      <c r="K24" s="37" t="str">
        <f>IF(H24&lt;&gt;"",'10 RAID Log'!E16,"")</f>
        <v/>
      </c>
      <c r="L24" s="37" t="str">
        <f>IF(H24&lt;&gt;"",'10 RAID Log'!I16,"")</f>
        <v/>
      </c>
      <c r="M24" s="37" t="str">
        <f>IF(H24&lt;&gt;"",'10 RAID Log'!J16,"")</f>
        <v/>
      </c>
    </row>
    <row r="25" spans="1:13" ht="20.100000000000001" customHeight="1" x14ac:dyDescent="0.25">
      <c r="A25" s="37" t="str">
        <f>IF('09 Decisions'!A17&lt;&gt;"",'09 Decisions'!A17,"")</f>
        <v/>
      </c>
      <c r="B25" s="37" t="str">
        <f>IF(A25&lt;&gt;"",'09 Decisions'!C17,"")</f>
        <v/>
      </c>
      <c r="C25" s="37" t="str">
        <f>IF(A25&lt;&gt;"",'09 Decisions'!D17,"")</f>
        <v/>
      </c>
      <c r="D25" s="37" t="str">
        <f>IF(A25&lt;&gt;"",'09 Decisions'!E17,"")</f>
        <v/>
      </c>
      <c r="E25" s="37" t="str">
        <f>IF(A25&lt;&gt;"",'09 Decisions'!M17,"")</f>
        <v/>
      </c>
      <c r="F25" s="37" t="str">
        <f>IF(A25&lt;&gt;"",'09 Decisions'!O17,"")</f>
        <v/>
      </c>
      <c r="G25" s="37" t="str">
        <f>IF(D25&lt;&gt;"",'02 Source Inventory'!T25,"")</f>
        <v/>
      </c>
      <c r="H25" s="37" t="str">
        <f>IF('10 RAID Log'!A17&lt;&gt;"",'10 RAID Log'!A17,"")</f>
        <v/>
      </c>
      <c r="I25" s="37" t="str">
        <f>IF(H25&lt;&gt;"",'10 RAID Log'!B17,"")</f>
        <v/>
      </c>
      <c r="J25" s="37" t="str">
        <f>IF(H25&lt;&gt;"",'10 RAID Log'!D17,"")</f>
        <v/>
      </c>
      <c r="K25" s="37" t="str">
        <f>IF(H25&lt;&gt;"",'10 RAID Log'!E17,"")</f>
        <v/>
      </c>
      <c r="L25" s="37" t="str">
        <f>IF(H25&lt;&gt;"",'10 RAID Log'!I17,"")</f>
        <v/>
      </c>
      <c r="M25" s="37" t="str">
        <f>IF(H25&lt;&gt;"",'10 RAID Log'!J17,"")</f>
        <v/>
      </c>
    </row>
    <row r="26" spans="1:13" ht="20.100000000000001" customHeight="1" x14ac:dyDescent="0.25">
      <c r="A26" s="37" t="str">
        <f>IF('09 Decisions'!A18&lt;&gt;"",'09 Decisions'!A18,"")</f>
        <v/>
      </c>
      <c r="B26" s="37" t="str">
        <f>IF(A26&lt;&gt;"",'09 Decisions'!C18,"")</f>
        <v/>
      </c>
      <c r="C26" s="37" t="str">
        <f>IF(A26&lt;&gt;"",'09 Decisions'!D18,"")</f>
        <v/>
      </c>
      <c r="D26" s="37" t="str">
        <f>IF(A26&lt;&gt;"",'09 Decisions'!E18,"")</f>
        <v/>
      </c>
      <c r="E26" s="37" t="str">
        <f>IF(A26&lt;&gt;"",'09 Decisions'!M18,"")</f>
        <v/>
      </c>
      <c r="F26" s="37" t="str">
        <f>IF(A26&lt;&gt;"",'09 Decisions'!O18,"")</f>
        <v/>
      </c>
      <c r="G26" s="37" t="str">
        <f>IF(D26&lt;&gt;"",'02 Source Inventory'!T26,"")</f>
        <v/>
      </c>
      <c r="H26" s="37" t="str">
        <f>IF('10 RAID Log'!A18&lt;&gt;"",'10 RAID Log'!A18,"")</f>
        <v/>
      </c>
      <c r="I26" s="37" t="str">
        <f>IF(H26&lt;&gt;"",'10 RAID Log'!B18,"")</f>
        <v/>
      </c>
      <c r="J26" s="37" t="str">
        <f>IF(H26&lt;&gt;"",'10 RAID Log'!D18,"")</f>
        <v/>
      </c>
      <c r="K26" s="37" t="str">
        <f>IF(H26&lt;&gt;"",'10 RAID Log'!E18,"")</f>
        <v/>
      </c>
      <c r="L26" s="37" t="str">
        <f>IF(H26&lt;&gt;"",'10 RAID Log'!I18,"")</f>
        <v/>
      </c>
      <c r="M26" s="37" t="str">
        <f>IF(H26&lt;&gt;"",'10 RAID Log'!J18,"")</f>
        <v/>
      </c>
    </row>
    <row r="27" spans="1:13" ht="20.100000000000001" customHeight="1" x14ac:dyDescent="0.25">
      <c r="A27" s="37" t="str">
        <f>IF('09 Decisions'!A19&lt;&gt;"",'09 Decisions'!A19,"")</f>
        <v/>
      </c>
      <c r="B27" s="37" t="str">
        <f>IF(A27&lt;&gt;"",'09 Decisions'!C19,"")</f>
        <v/>
      </c>
      <c r="C27" s="37" t="str">
        <f>IF(A27&lt;&gt;"",'09 Decisions'!D19,"")</f>
        <v/>
      </c>
      <c r="D27" s="37" t="str">
        <f>IF(A27&lt;&gt;"",'09 Decisions'!E19,"")</f>
        <v/>
      </c>
      <c r="E27" s="37" t="str">
        <f>IF(A27&lt;&gt;"",'09 Decisions'!M19,"")</f>
        <v/>
      </c>
      <c r="F27" s="37" t="str">
        <f>IF(A27&lt;&gt;"",'09 Decisions'!O19,"")</f>
        <v/>
      </c>
      <c r="G27" s="37" t="str">
        <f>IF(D27&lt;&gt;"",'02 Source Inventory'!T27,"")</f>
        <v/>
      </c>
      <c r="H27" s="37" t="str">
        <f>IF('10 RAID Log'!A19&lt;&gt;"",'10 RAID Log'!A19,"")</f>
        <v/>
      </c>
      <c r="I27" s="37" t="str">
        <f>IF(H27&lt;&gt;"",'10 RAID Log'!B19,"")</f>
        <v/>
      </c>
      <c r="J27" s="37" t="str">
        <f>IF(H27&lt;&gt;"",'10 RAID Log'!D19,"")</f>
        <v/>
      </c>
      <c r="K27" s="37" t="str">
        <f>IF(H27&lt;&gt;"",'10 RAID Log'!E19,"")</f>
        <v/>
      </c>
      <c r="L27" s="37" t="str">
        <f>IF(H27&lt;&gt;"",'10 RAID Log'!I19,"")</f>
        <v/>
      </c>
      <c r="M27" s="37" t="str">
        <f>IF(H27&lt;&gt;"",'10 RAID Log'!J19,"")</f>
        <v/>
      </c>
    </row>
    <row r="28" spans="1:13" ht="20.100000000000001" customHeight="1" x14ac:dyDescent="0.25">
      <c r="A28" s="37" t="str">
        <f>IF('09 Decisions'!A20&lt;&gt;"",'09 Decisions'!A20,"")</f>
        <v/>
      </c>
      <c r="B28" s="37" t="str">
        <f>IF(A28&lt;&gt;"",'09 Decisions'!C20,"")</f>
        <v/>
      </c>
      <c r="C28" s="37" t="str">
        <f>IF(A28&lt;&gt;"",'09 Decisions'!D20,"")</f>
        <v/>
      </c>
      <c r="D28" s="37" t="str">
        <f>IF(A28&lt;&gt;"",'09 Decisions'!E20,"")</f>
        <v/>
      </c>
      <c r="E28" s="37" t="str">
        <f>IF(A28&lt;&gt;"",'09 Decisions'!M20,"")</f>
        <v/>
      </c>
      <c r="F28" s="37" t="str">
        <f>IF(A28&lt;&gt;"",'09 Decisions'!O20,"")</f>
        <v/>
      </c>
      <c r="G28" s="37" t="str">
        <f>IF(D28&lt;&gt;"",'02 Source Inventory'!T28,"")</f>
        <v/>
      </c>
      <c r="H28" s="37" t="str">
        <f>IF('10 RAID Log'!A20&lt;&gt;"",'10 RAID Log'!A20,"")</f>
        <v/>
      </c>
      <c r="I28" s="37" t="str">
        <f>IF(H28&lt;&gt;"",'10 RAID Log'!B20,"")</f>
        <v/>
      </c>
      <c r="J28" s="37" t="str">
        <f>IF(H28&lt;&gt;"",'10 RAID Log'!D20,"")</f>
        <v/>
      </c>
      <c r="K28" s="37" t="str">
        <f>IF(H28&lt;&gt;"",'10 RAID Log'!E20,"")</f>
        <v/>
      </c>
      <c r="L28" s="37" t="str">
        <f>IF(H28&lt;&gt;"",'10 RAID Log'!I20,"")</f>
        <v/>
      </c>
      <c r="M28" s="37" t="str">
        <f>IF(H28&lt;&gt;"",'10 RAID Log'!J20,"")</f>
        <v/>
      </c>
    </row>
    <row r="29" spans="1:13" ht="20.100000000000001" customHeight="1" x14ac:dyDescent="0.25">
      <c r="A29" s="37" t="str">
        <f>IF('09 Decisions'!A21&lt;&gt;"",'09 Decisions'!A21,"")</f>
        <v/>
      </c>
      <c r="B29" s="37" t="str">
        <f>IF(A29&lt;&gt;"",'09 Decisions'!C21,"")</f>
        <v/>
      </c>
      <c r="C29" s="37" t="str">
        <f>IF(A29&lt;&gt;"",'09 Decisions'!D21,"")</f>
        <v/>
      </c>
      <c r="D29" s="37" t="str">
        <f>IF(A29&lt;&gt;"",'09 Decisions'!E21,"")</f>
        <v/>
      </c>
      <c r="E29" s="37" t="str">
        <f>IF(A29&lt;&gt;"",'09 Decisions'!M21,"")</f>
        <v/>
      </c>
      <c r="F29" s="37" t="str">
        <f>IF(A29&lt;&gt;"",'09 Decisions'!O21,"")</f>
        <v/>
      </c>
      <c r="G29" s="37" t="str">
        <f>IF(D29&lt;&gt;"",'02 Source Inventory'!T29,"")</f>
        <v/>
      </c>
      <c r="H29" s="37" t="str">
        <f>IF('10 RAID Log'!A21&lt;&gt;"",'10 RAID Log'!A21,"")</f>
        <v/>
      </c>
      <c r="I29" s="37" t="str">
        <f>IF(H29&lt;&gt;"",'10 RAID Log'!B21,"")</f>
        <v/>
      </c>
      <c r="J29" s="37" t="str">
        <f>IF(H29&lt;&gt;"",'10 RAID Log'!D21,"")</f>
        <v/>
      </c>
      <c r="K29" s="37" t="str">
        <f>IF(H29&lt;&gt;"",'10 RAID Log'!E21,"")</f>
        <v/>
      </c>
      <c r="L29" s="37" t="str">
        <f>IF(H29&lt;&gt;"",'10 RAID Log'!I21,"")</f>
        <v/>
      </c>
      <c r="M29" s="37" t="str">
        <f>IF(H29&lt;&gt;"",'10 RAID Log'!J21,"")</f>
        <v/>
      </c>
    </row>
    <row r="30" spans="1:13" ht="20.100000000000001" customHeight="1" x14ac:dyDescent="0.25">
      <c r="A30" s="37" t="str">
        <f>IF('09 Decisions'!A22&lt;&gt;"",'09 Decisions'!A22,"")</f>
        <v/>
      </c>
      <c r="B30" s="37" t="str">
        <f>IF(A30&lt;&gt;"",'09 Decisions'!C22,"")</f>
        <v/>
      </c>
      <c r="C30" s="37" t="str">
        <f>IF(A30&lt;&gt;"",'09 Decisions'!D22,"")</f>
        <v/>
      </c>
      <c r="D30" s="37" t="str">
        <f>IF(A30&lt;&gt;"",'09 Decisions'!E22,"")</f>
        <v/>
      </c>
      <c r="E30" s="37" t="str">
        <f>IF(A30&lt;&gt;"",'09 Decisions'!M22,"")</f>
        <v/>
      </c>
      <c r="F30" s="37" t="str">
        <f>IF(A30&lt;&gt;"",'09 Decisions'!O22,"")</f>
        <v/>
      </c>
      <c r="G30" s="37" t="str">
        <f>IF(D30&lt;&gt;"",'02 Source Inventory'!T30,"")</f>
        <v/>
      </c>
      <c r="H30" s="37" t="str">
        <f>IF('10 RAID Log'!A22&lt;&gt;"",'10 RAID Log'!A22,"")</f>
        <v/>
      </c>
      <c r="I30" s="37" t="str">
        <f>IF(H30&lt;&gt;"",'10 RAID Log'!B22,"")</f>
        <v/>
      </c>
      <c r="J30" s="37" t="str">
        <f>IF(H30&lt;&gt;"",'10 RAID Log'!D22,"")</f>
        <v/>
      </c>
      <c r="K30" s="37" t="str">
        <f>IF(H30&lt;&gt;"",'10 RAID Log'!E22,"")</f>
        <v/>
      </c>
      <c r="L30" s="37" t="str">
        <f>IF(H30&lt;&gt;"",'10 RAID Log'!I22,"")</f>
        <v/>
      </c>
      <c r="M30" s="37" t="str">
        <f>IF(H30&lt;&gt;"",'10 RAID Log'!J22,"")</f>
        <v/>
      </c>
    </row>
    <row r="31" spans="1:13" ht="20.100000000000001" customHeight="1" x14ac:dyDescent="0.25">
      <c r="A31" t="str">
        <f>IF('09 Decisions'!A23&lt;&gt;"",'09 Decisions'!A23,"")</f>
        <v/>
      </c>
      <c r="B31" t="str">
        <f>IF(A31&lt;&gt;"",'09 Decisions'!C23,"")</f>
        <v/>
      </c>
      <c r="C31" t="str">
        <f>IF(A31&lt;&gt;"",'09 Decisions'!D23,"")</f>
        <v/>
      </c>
      <c r="D31" s="37" t="str">
        <f>IF(A31&lt;&gt;"",'09 Decisions'!E23,"")</f>
        <v/>
      </c>
      <c r="E31" s="37" t="str">
        <f>IF(A31&lt;&gt;"",'09 Decisions'!M23,"")</f>
        <v/>
      </c>
      <c r="F31" s="37" t="str">
        <f>IF(A31&lt;&gt;"",'09 Decisions'!O23,"")</f>
        <v/>
      </c>
      <c r="G31" s="37" t="str">
        <f>IF(D31&lt;&gt;"",'02 Source Inventory'!T31,"")</f>
        <v/>
      </c>
      <c r="H31" s="37" t="str">
        <f>IF('10 RAID Log'!A23&lt;&gt;"",'10 RAID Log'!A23,"")</f>
        <v/>
      </c>
      <c r="I31" s="37" t="str">
        <f>IF(H31&lt;&gt;"",'10 RAID Log'!B23,"")</f>
        <v/>
      </c>
      <c r="J31" s="37" t="str">
        <f>IF(H31&lt;&gt;"",'10 RAID Log'!D23,"")</f>
        <v/>
      </c>
      <c r="K31" t="str">
        <f>IF(H31&lt;&gt;"",'10 RAID Log'!E23,"")</f>
        <v/>
      </c>
      <c r="L31" t="str">
        <f>IF(H31&lt;&gt;"",'10 RAID Log'!I23,"")</f>
        <v/>
      </c>
      <c r="M31" t="str">
        <f>IF(H31&lt;&gt;"",'10 RAID Log'!J23,"")</f>
        <v/>
      </c>
    </row>
    <row r="32" spans="1:13" ht="20.100000000000001" customHeight="1" x14ac:dyDescent="0.25">
      <c r="A32" t="str">
        <f>IF('09 Decisions'!A24&lt;&gt;"",'09 Decisions'!A24,"")</f>
        <v/>
      </c>
      <c r="B32" t="str">
        <f>IF(A32&lt;&gt;"",'09 Decisions'!C24,"")</f>
        <v/>
      </c>
      <c r="C32" t="str">
        <f>IF(A32&lt;&gt;"",'09 Decisions'!D24,"")</f>
        <v/>
      </c>
      <c r="D32" s="37" t="str">
        <f>IF(A32&lt;&gt;"",'09 Decisions'!E24,"")</f>
        <v/>
      </c>
      <c r="E32" s="37" t="str">
        <f>IF(A32&lt;&gt;"",'09 Decisions'!M24,"")</f>
        <v/>
      </c>
      <c r="F32" s="37" t="str">
        <f>IF(A32&lt;&gt;"",'09 Decisions'!O24,"")</f>
        <v/>
      </c>
      <c r="G32" s="37" t="str">
        <f>IF(D32&lt;&gt;"",'02 Source Inventory'!T32,"")</f>
        <v/>
      </c>
      <c r="H32" s="37" t="str">
        <f>IF('10 RAID Log'!A24&lt;&gt;"",'10 RAID Log'!A24,"")</f>
        <v/>
      </c>
      <c r="I32" s="37" t="str">
        <f>IF(H32&lt;&gt;"",'10 RAID Log'!B24,"")</f>
        <v/>
      </c>
      <c r="J32" s="37" t="str">
        <f>IF(H32&lt;&gt;"",'10 RAID Log'!D24,"")</f>
        <v/>
      </c>
      <c r="K32" t="str">
        <f>IF(H32&lt;&gt;"",'10 RAID Log'!E24,"")</f>
        <v/>
      </c>
      <c r="L32" t="str">
        <f>IF(H32&lt;&gt;"",'10 RAID Log'!I24,"")</f>
        <v/>
      </c>
      <c r="M32" t="str">
        <f>IF(H32&lt;&gt;"",'10 RAID Log'!J24,"")</f>
        <v/>
      </c>
    </row>
    <row r="33" spans="1:13" ht="20.100000000000001" customHeight="1" x14ac:dyDescent="0.25">
      <c r="A33" t="str">
        <f>IF('09 Decisions'!A25&lt;&gt;"",'09 Decisions'!A25,"")</f>
        <v/>
      </c>
      <c r="B33" t="str">
        <f>IF(A33&lt;&gt;"",'09 Decisions'!C25,"")</f>
        <v/>
      </c>
      <c r="C33" t="str">
        <f>IF(A33&lt;&gt;"",'09 Decisions'!D25,"")</f>
        <v/>
      </c>
      <c r="D33" s="37" t="str">
        <f>IF(A33&lt;&gt;"",'09 Decisions'!E25,"")</f>
        <v/>
      </c>
      <c r="E33" s="37" t="str">
        <f>IF(A33&lt;&gt;"",'09 Decisions'!M25,"")</f>
        <v/>
      </c>
      <c r="F33" s="37" t="str">
        <f>IF(A33&lt;&gt;"",'09 Decisions'!O25,"")</f>
        <v/>
      </c>
      <c r="G33" s="37" t="str">
        <f>IF(D33&lt;&gt;"",'02 Source Inventory'!T33,"")</f>
        <v/>
      </c>
      <c r="H33" s="37" t="str">
        <f>IF('10 RAID Log'!A25&lt;&gt;"",'10 RAID Log'!A25,"")</f>
        <v/>
      </c>
      <c r="I33" s="37" t="str">
        <f>IF(H33&lt;&gt;"",'10 RAID Log'!B25,"")</f>
        <v/>
      </c>
      <c r="J33" s="37" t="str">
        <f>IF(H33&lt;&gt;"",'10 RAID Log'!D25,"")</f>
        <v/>
      </c>
      <c r="K33" t="str">
        <f>IF(H33&lt;&gt;"",'10 RAID Log'!E25,"")</f>
        <v/>
      </c>
      <c r="L33" t="str">
        <f>IF(H33&lt;&gt;"",'10 RAID Log'!I25,"")</f>
        <v/>
      </c>
      <c r="M33" t="str">
        <f>IF(H33&lt;&gt;"",'10 RAID Log'!J25,"")</f>
        <v/>
      </c>
    </row>
    <row r="34" spans="1:13" ht="20.100000000000001" customHeight="1" x14ac:dyDescent="0.25">
      <c r="D34" s="37" t="str">
        <f>IF('02 Source Inventory'!B34&lt;&gt;"",'02 Source Inventory'!B34,"")</f>
        <v/>
      </c>
      <c r="E34" s="37" t="str">
        <f>IF(D34&lt;&gt;"",'02 Source Inventory'!C34,"")</f>
        <v/>
      </c>
      <c r="F34" s="37" t="str">
        <f>IF(D34&lt;&gt;"",'02 Source Inventory'!S34,"")</f>
        <v/>
      </c>
      <c r="G34" s="37" t="str">
        <f>IF(D34&lt;&gt;"",'02 Source Inventory'!T34,"")</f>
        <v/>
      </c>
      <c r="H34" s="37" t="str">
        <f>IF(D34&lt;&gt;"",'02 Source Inventory'!U34,"")</f>
        <v/>
      </c>
      <c r="I34" s="37" t="str">
        <f>IF(D34&lt;&gt;"",IFERROR(_xludf.XLOOKUP(D34,'03 Bronze Intake'!B$6:B$367,'03 Bronze Intake'!V$6:V$367,""),""),"")</f>
        <v/>
      </c>
      <c r="J34" s="37" t="str">
        <f>IF(D34&lt;&gt;"",'02 Source Inventory'!D34,"")</f>
        <v/>
      </c>
    </row>
    <row r="35" spans="1:13" ht="20.100000000000001" customHeight="1" x14ac:dyDescent="0.25">
      <c r="D35" s="37" t="str">
        <f>IF('02 Source Inventory'!B35&lt;&gt;"",'02 Source Inventory'!B35,"")</f>
        <v/>
      </c>
      <c r="E35" s="37" t="str">
        <f>IF(D35&lt;&gt;"",'02 Source Inventory'!C35,"")</f>
        <v/>
      </c>
      <c r="F35" s="37" t="str">
        <f>IF(D35&lt;&gt;"",'02 Source Inventory'!S35,"")</f>
        <v/>
      </c>
      <c r="G35" s="37" t="str">
        <f>IF(D35&lt;&gt;"",'02 Source Inventory'!T35,"")</f>
        <v/>
      </c>
      <c r="H35" s="37" t="str">
        <f>IF(D35&lt;&gt;"",'02 Source Inventory'!U35,"")</f>
        <v/>
      </c>
      <c r="I35" s="37" t="str">
        <f>IF(D35&lt;&gt;"",IFERROR(_xludf.XLOOKUP(D35,'03 Bronze Intake'!B$6:B$367,'03 Bronze Intake'!V$6:V$367,""),""),"")</f>
        <v/>
      </c>
      <c r="J35" s="37" t="str">
        <f>IF(D35&lt;&gt;"",'02 Source Inventory'!D35,"")</f>
        <v/>
      </c>
    </row>
    <row r="36" spans="1:13" ht="20.100000000000001" customHeight="1" x14ac:dyDescent="0.25">
      <c r="D36" s="37" t="str">
        <f>IF('02 Source Inventory'!B36&lt;&gt;"",'02 Source Inventory'!B36,"")</f>
        <v/>
      </c>
      <c r="E36" s="37" t="str">
        <f>IF(D36&lt;&gt;"",'02 Source Inventory'!C36,"")</f>
        <v/>
      </c>
      <c r="F36" s="37" t="str">
        <f>IF(D36&lt;&gt;"",'02 Source Inventory'!S36,"")</f>
        <v/>
      </c>
      <c r="G36" s="37" t="str">
        <f>IF(D36&lt;&gt;"",'02 Source Inventory'!T36,"")</f>
        <v/>
      </c>
      <c r="H36" s="37" t="str">
        <f>IF(D36&lt;&gt;"",'02 Source Inventory'!U36,"")</f>
        <v/>
      </c>
      <c r="I36" s="37" t="str">
        <f>IF(D36&lt;&gt;"",IFERROR(_xludf.XLOOKUP(D36,'03 Bronze Intake'!B$6:B$367,'03 Bronze Intake'!V$6:V$367,""),""),"")</f>
        <v/>
      </c>
      <c r="J36" s="37" t="str">
        <f>IF(D36&lt;&gt;"",'02 Source Inventory'!D36,"")</f>
        <v/>
      </c>
    </row>
    <row r="37" spans="1:13" ht="20.100000000000001" customHeight="1" x14ac:dyDescent="0.25">
      <c r="D37" s="37" t="str">
        <f>IF('02 Source Inventory'!B37&lt;&gt;"",'02 Source Inventory'!B37,"")</f>
        <v/>
      </c>
      <c r="E37" s="37" t="str">
        <f>IF(D37&lt;&gt;"",'02 Source Inventory'!C37,"")</f>
        <v/>
      </c>
      <c r="F37" s="37" t="str">
        <f>IF(D37&lt;&gt;"",'02 Source Inventory'!S37,"")</f>
        <v/>
      </c>
      <c r="G37" s="37" t="str">
        <f>IF(D37&lt;&gt;"",'02 Source Inventory'!T37,"")</f>
        <v/>
      </c>
      <c r="H37" s="37" t="str">
        <f>IF(D37&lt;&gt;"",'02 Source Inventory'!U37,"")</f>
        <v/>
      </c>
      <c r="I37" s="37" t="str">
        <f>IF(D37&lt;&gt;"",IFERROR(_xludf.XLOOKUP(D37,'03 Bronze Intake'!B$6:B$367,'03 Bronze Intake'!V$6:V$367,""),""),"")</f>
        <v/>
      </c>
      <c r="J37" s="37" t="str">
        <f>IF(D37&lt;&gt;"",'02 Source Inventory'!D37,"")</f>
        <v/>
      </c>
    </row>
    <row r="38" spans="1:13" ht="20.100000000000001" customHeight="1" x14ac:dyDescent="0.25">
      <c r="D38" s="37" t="str">
        <f>IF('02 Source Inventory'!B38&lt;&gt;"",'02 Source Inventory'!B38,"")</f>
        <v/>
      </c>
      <c r="E38" s="37" t="str">
        <f>IF(D38&lt;&gt;"",'02 Source Inventory'!C38,"")</f>
        <v/>
      </c>
      <c r="F38" s="37" t="str">
        <f>IF(D38&lt;&gt;"",'02 Source Inventory'!S38,"")</f>
        <v/>
      </c>
      <c r="G38" s="37" t="str">
        <f>IF(D38&lt;&gt;"",'02 Source Inventory'!T38,"")</f>
        <v/>
      </c>
      <c r="H38" s="37" t="str">
        <f>IF(D38&lt;&gt;"",'02 Source Inventory'!U38,"")</f>
        <v/>
      </c>
      <c r="I38" s="37" t="str">
        <f>IF(D38&lt;&gt;"",IFERROR(_xludf.XLOOKUP(D38,'03 Bronze Intake'!B$6:B$367,'03 Bronze Intake'!V$6:V$367,""),""),"")</f>
        <v/>
      </c>
      <c r="J38" s="37" t="str">
        <f>IF(D38&lt;&gt;"",'02 Source Inventory'!D38,"")</f>
        <v/>
      </c>
    </row>
    <row r="39" spans="1:13" ht="20.100000000000001" customHeight="1" x14ac:dyDescent="0.25">
      <c r="D39" s="37" t="str">
        <f>IF('02 Source Inventory'!B39&lt;&gt;"",'02 Source Inventory'!B39,"")</f>
        <v/>
      </c>
      <c r="E39" s="37" t="str">
        <f>IF(D39&lt;&gt;"",'02 Source Inventory'!C39,"")</f>
        <v/>
      </c>
      <c r="F39" s="37" t="str">
        <f>IF(D39&lt;&gt;"",'02 Source Inventory'!S39,"")</f>
        <v/>
      </c>
      <c r="G39" s="37" t="str">
        <f>IF(D39&lt;&gt;"",'02 Source Inventory'!T39,"")</f>
        <v/>
      </c>
      <c r="H39" s="37" t="str">
        <f>IF(D39&lt;&gt;"",'02 Source Inventory'!U39,"")</f>
        <v/>
      </c>
      <c r="I39" s="37" t="str">
        <f>IF(D39&lt;&gt;"",IFERROR(_xludf.XLOOKUP(D39,'03 Bronze Intake'!B$6:B$367,'03 Bronze Intake'!V$6:V$367,""),""),"")</f>
        <v/>
      </c>
      <c r="J39" s="37" t="str">
        <f>IF(D39&lt;&gt;"",'02 Source Inventory'!D39,"")</f>
        <v/>
      </c>
    </row>
    <row r="40" spans="1:13" ht="20.100000000000001" customHeight="1" x14ac:dyDescent="0.25">
      <c r="D40" s="37" t="str">
        <f>IF('02 Source Inventory'!B40&lt;&gt;"",'02 Source Inventory'!B40,"")</f>
        <v/>
      </c>
      <c r="E40" s="37" t="str">
        <f>IF(D40&lt;&gt;"",'02 Source Inventory'!C40,"")</f>
        <v/>
      </c>
      <c r="F40" s="37" t="str">
        <f>IF(D40&lt;&gt;"",'02 Source Inventory'!S40,"")</f>
        <v/>
      </c>
      <c r="G40" s="37" t="str">
        <f>IF(D40&lt;&gt;"",'02 Source Inventory'!T40,"")</f>
        <v/>
      </c>
      <c r="H40" s="37" t="str">
        <f>IF(D40&lt;&gt;"",'02 Source Inventory'!U40,"")</f>
        <v/>
      </c>
      <c r="I40" s="37" t="str">
        <f>IF(D40&lt;&gt;"",IFERROR(_xludf.XLOOKUP(D40,'03 Bronze Intake'!B$6:B$367,'03 Bronze Intake'!V$6:V$367,""),""),"")</f>
        <v/>
      </c>
      <c r="J40" s="37" t="str">
        <f>IF(D40&lt;&gt;"",'02 Source Inventory'!D40,"")</f>
        <v/>
      </c>
    </row>
    <row r="41" spans="1:13" ht="20.100000000000001" customHeight="1" x14ac:dyDescent="0.25">
      <c r="D41" s="37" t="str">
        <f>IF('02 Source Inventory'!B41&lt;&gt;"",'02 Source Inventory'!B41,"")</f>
        <v/>
      </c>
      <c r="E41" s="37" t="str">
        <f>IF(D41&lt;&gt;"",'02 Source Inventory'!C41,"")</f>
        <v/>
      </c>
      <c r="F41" s="37" t="str">
        <f>IF(D41&lt;&gt;"",'02 Source Inventory'!S41,"")</f>
        <v/>
      </c>
      <c r="G41" s="37" t="str">
        <f>IF(D41&lt;&gt;"",'02 Source Inventory'!T41,"")</f>
        <v/>
      </c>
      <c r="H41" s="37" t="str">
        <f>IF(D41&lt;&gt;"",'02 Source Inventory'!U41,"")</f>
        <v/>
      </c>
      <c r="I41" s="37" t="str">
        <f>IF(D41&lt;&gt;"",IFERROR(_xludf.XLOOKUP(D41,'03 Bronze Intake'!B$6:B$367,'03 Bronze Intake'!V$6:V$367,""),""),"")</f>
        <v/>
      </c>
      <c r="J41" s="37" t="str">
        <f>IF(D41&lt;&gt;"",'02 Source Inventory'!D41,"")</f>
        <v/>
      </c>
    </row>
    <row r="42" spans="1:13" ht="20.100000000000001" customHeight="1" x14ac:dyDescent="0.25">
      <c r="D42" s="37" t="str">
        <f>IF('02 Source Inventory'!B42&lt;&gt;"",'02 Source Inventory'!B42,"")</f>
        <v/>
      </c>
      <c r="E42" s="37" t="str">
        <f>IF(D42&lt;&gt;"",'02 Source Inventory'!C42,"")</f>
        <v/>
      </c>
      <c r="F42" s="37" t="str">
        <f>IF(D42&lt;&gt;"",'02 Source Inventory'!S42,"")</f>
        <v/>
      </c>
      <c r="G42" s="37" t="str">
        <f>IF(D42&lt;&gt;"",'02 Source Inventory'!T42,"")</f>
        <v/>
      </c>
      <c r="H42" s="37" t="str">
        <f>IF(D42&lt;&gt;"",'02 Source Inventory'!U42,"")</f>
        <v/>
      </c>
      <c r="I42" s="37" t="str">
        <f>IF(D42&lt;&gt;"",IFERROR(_xludf.XLOOKUP(D42,'03 Bronze Intake'!B$6:B$367,'03 Bronze Intake'!V$6:V$367,""),""),"")</f>
        <v/>
      </c>
      <c r="J42" s="37" t="str">
        <f>IF(D42&lt;&gt;"",'02 Source Inventory'!D42,"")</f>
        <v/>
      </c>
    </row>
    <row r="43" spans="1:13" ht="20.100000000000001" customHeight="1" x14ac:dyDescent="0.25">
      <c r="D43" s="37" t="str">
        <f>IF('02 Source Inventory'!B43&lt;&gt;"",'02 Source Inventory'!B43,"")</f>
        <v/>
      </c>
      <c r="E43" s="37" t="str">
        <f>IF(D43&lt;&gt;"",'02 Source Inventory'!C43,"")</f>
        <v/>
      </c>
      <c r="F43" s="37" t="str">
        <f>IF(D43&lt;&gt;"",'02 Source Inventory'!S43,"")</f>
        <v/>
      </c>
      <c r="G43" s="37" t="str">
        <f>IF(D43&lt;&gt;"",'02 Source Inventory'!T43,"")</f>
        <v/>
      </c>
      <c r="H43" s="37" t="str">
        <f>IF(D43&lt;&gt;"",'02 Source Inventory'!U43,"")</f>
        <v/>
      </c>
      <c r="I43" s="37" t="str">
        <f>IF(D43&lt;&gt;"",IFERROR(_xludf.XLOOKUP(D43,'03 Bronze Intake'!B$6:B$367,'03 Bronze Intake'!V$6:V$367,""),""),"")</f>
        <v/>
      </c>
      <c r="J43" s="37" t="str">
        <f>IF(D43&lt;&gt;"",'02 Source Inventory'!D43,"")</f>
        <v/>
      </c>
    </row>
    <row r="44" spans="1:13" ht="20.100000000000001" customHeight="1" x14ac:dyDescent="0.25">
      <c r="D44" s="37" t="str">
        <f>IF('02 Source Inventory'!B44&lt;&gt;"",'02 Source Inventory'!B44,"")</f>
        <v/>
      </c>
      <c r="E44" s="37" t="str">
        <f>IF(D44&lt;&gt;"",'02 Source Inventory'!C44,"")</f>
        <v/>
      </c>
      <c r="F44" s="37" t="str">
        <f>IF(D44&lt;&gt;"",'02 Source Inventory'!S44,"")</f>
        <v/>
      </c>
      <c r="G44" s="37" t="str">
        <f>IF(D44&lt;&gt;"",'02 Source Inventory'!T44,"")</f>
        <v/>
      </c>
      <c r="H44" s="37" t="str">
        <f>IF(D44&lt;&gt;"",'02 Source Inventory'!U44,"")</f>
        <v/>
      </c>
      <c r="I44" s="37" t="str">
        <f>IF(D44&lt;&gt;"",IFERROR(_xludf.XLOOKUP(D44,'03 Bronze Intake'!B$6:B$367,'03 Bronze Intake'!V$6:V$367,""),""),"")</f>
        <v/>
      </c>
      <c r="J44" s="37" t="str">
        <f>IF(D44&lt;&gt;"",'02 Source Inventory'!D44,"")</f>
        <v/>
      </c>
    </row>
    <row r="45" spans="1:13" ht="20.100000000000001" customHeight="1" x14ac:dyDescent="0.25">
      <c r="D45" s="37" t="str">
        <f>IF('02 Source Inventory'!B45&lt;&gt;"",'02 Source Inventory'!B45,"")</f>
        <v/>
      </c>
      <c r="E45" s="37" t="str">
        <f>IF(D45&lt;&gt;"",'02 Source Inventory'!C45,"")</f>
        <v/>
      </c>
      <c r="F45" s="37" t="str">
        <f>IF(D45&lt;&gt;"",'02 Source Inventory'!S45,"")</f>
        <v/>
      </c>
      <c r="G45" s="37" t="str">
        <f>IF(D45&lt;&gt;"",'02 Source Inventory'!T45,"")</f>
        <v/>
      </c>
      <c r="H45" s="37" t="str">
        <f>IF(D45&lt;&gt;"",'02 Source Inventory'!U45,"")</f>
        <v/>
      </c>
      <c r="I45" s="37" t="str">
        <f>IF(D45&lt;&gt;"",IFERROR(_xludf.XLOOKUP(D45,'03 Bronze Intake'!B$6:B$367,'03 Bronze Intake'!V$6:V$367,""),""),"")</f>
        <v/>
      </c>
      <c r="J45" s="37" t="str">
        <f>IF(D45&lt;&gt;"",'02 Source Inventory'!D45,"")</f>
        <v/>
      </c>
    </row>
    <row r="46" spans="1:13" ht="20.100000000000001" customHeight="1" x14ac:dyDescent="0.25">
      <c r="D46" s="37" t="str">
        <f>IF('02 Source Inventory'!B46&lt;&gt;"",'02 Source Inventory'!B46,"")</f>
        <v/>
      </c>
      <c r="E46" s="37" t="str">
        <f>IF(D46&lt;&gt;"",'02 Source Inventory'!C46,"")</f>
        <v/>
      </c>
      <c r="F46" s="37" t="str">
        <f>IF(D46&lt;&gt;"",'02 Source Inventory'!S46,"")</f>
        <v/>
      </c>
      <c r="G46" s="37" t="str">
        <f>IF(D46&lt;&gt;"",'02 Source Inventory'!T46,"")</f>
        <v/>
      </c>
      <c r="H46" s="37" t="str">
        <f>IF(D46&lt;&gt;"",'02 Source Inventory'!U46,"")</f>
        <v/>
      </c>
      <c r="I46" s="37" t="str">
        <f>IF(D46&lt;&gt;"",IFERROR(_xludf.XLOOKUP(D46,'03 Bronze Intake'!B$6:B$367,'03 Bronze Intake'!V$6:V$367,""),""),"")</f>
        <v/>
      </c>
      <c r="J46" s="37" t="str">
        <f>IF(D46&lt;&gt;"",'02 Source Inventory'!D46,"")</f>
        <v/>
      </c>
    </row>
    <row r="47" spans="1:13" ht="20.100000000000001" customHeight="1" x14ac:dyDescent="0.25">
      <c r="D47" s="37" t="str">
        <f>IF('02 Source Inventory'!B47&lt;&gt;"",'02 Source Inventory'!B47,"")</f>
        <v/>
      </c>
      <c r="E47" s="37" t="str">
        <f>IF(D47&lt;&gt;"",'02 Source Inventory'!C47,"")</f>
        <v/>
      </c>
      <c r="F47" s="37" t="str">
        <f>IF(D47&lt;&gt;"",'02 Source Inventory'!S47,"")</f>
        <v/>
      </c>
      <c r="G47" s="37" t="str">
        <f>IF(D47&lt;&gt;"",'02 Source Inventory'!T47,"")</f>
        <v/>
      </c>
      <c r="H47" s="37" t="str">
        <f>IF(D47&lt;&gt;"",'02 Source Inventory'!U47,"")</f>
        <v/>
      </c>
      <c r="I47" s="37" t="str">
        <f>IF(D47&lt;&gt;"",IFERROR(_xludf.XLOOKUP(D47,'03 Bronze Intake'!B$6:B$367,'03 Bronze Intake'!V$6:V$367,""),""),"")</f>
        <v/>
      </c>
      <c r="J47" s="37" t="str">
        <f>IF(D47&lt;&gt;"",'02 Source Inventory'!D47,"")</f>
        <v/>
      </c>
    </row>
    <row r="48" spans="1:13" ht="20.100000000000001" customHeight="1" x14ac:dyDescent="0.25">
      <c r="D48" s="37" t="str">
        <f>IF('02 Source Inventory'!B48&lt;&gt;"",'02 Source Inventory'!B48,"")</f>
        <v/>
      </c>
      <c r="E48" s="37" t="str">
        <f>IF(D48&lt;&gt;"",'02 Source Inventory'!C48,"")</f>
        <v/>
      </c>
      <c r="F48" s="37" t="str">
        <f>IF(D48&lt;&gt;"",'02 Source Inventory'!S48,"")</f>
        <v/>
      </c>
      <c r="G48" s="37" t="str">
        <f>IF(D48&lt;&gt;"",'02 Source Inventory'!T48,"")</f>
        <v/>
      </c>
      <c r="H48" s="37" t="str">
        <f>IF(D48&lt;&gt;"",'02 Source Inventory'!U48,"")</f>
        <v/>
      </c>
      <c r="I48" s="37" t="str">
        <f>IF(D48&lt;&gt;"",IFERROR(_xludf.XLOOKUP(D48,'03 Bronze Intake'!B$6:B$367,'03 Bronze Intake'!V$6:V$367,""),""),"")</f>
        <v/>
      </c>
      <c r="J48" s="37" t="str">
        <f>IF(D48&lt;&gt;"",'02 Source Inventory'!D48,"")</f>
        <v/>
      </c>
    </row>
    <row r="49" spans="4:10" ht="20.100000000000001" customHeight="1" x14ac:dyDescent="0.25">
      <c r="D49" s="37" t="str">
        <f>IF('02 Source Inventory'!B49&lt;&gt;"",'02 Source Inventory'!B49,"")</f>
        <v/>
      </c>
      <c r="E49" s="37" t="str">
        <f>IF(D49&lt;&gt;"",'02 Source Inventory'!C49,"")</f>
        <v/>
      </c>
      <c r="F49" s="37" t="str">
        <f>IF(D49&lt;&gt;"",'02 Source Inventory'!S49,"")</f>
        <v/>
      </c>
      <c r="G49" s="37" t="str">
        <f>IF(D49&lt;&gt;"",'02 Source Inventory'!T49,"")</f>
        <v/>
      </c>
      <c r="H49" s="37" t="str">
        <f>IF(D49&lt;&gt;"",'02 Source Inventory'!U49,"")</f>
        <v/>
      </c>
      <c r="I49" s="37" t="str">
        <f>IF(D49&lt;&gt;"",IFERROR(_xludf.XLOOKUP(D49,'03 Bronze Intake'!B$6:B$367,'03 Bronze Intake'!V$6:V$367,""),""),"")</f>
        <v/>
      </c>
      <c r="J49" s="37" t="str">
        <f>IF(D49&lt;&gt;"",'02 Source Inventory'!D49,"")</f>
        <v/>
      </c>
    </row>
    <row r="50" spans="4:10" ht="20.100000000000001" customHeight="1" x14ac:dyDescent="0.25">
      <c r="D50" s="37" t="str">
        <f>IF('02 Source Inventory'!B50&lt;&gt;"",'02 Source Inventory'!B50,"")</f>
        <v/>
      </c>
      <c r="E50" s="37" t="str">
        <f>IF(D50&lt;&gt;"",'02 Source Inventory'!C50,"")</f>
        <v/>
      </c>
      <c r="F50" s="37" t="str">
        <f>IF(D50&lt;&gt;"",'02 Source Inventory'!S50,"")</f>
        <v/>
      </c>
      <c r="G50" s="37" t="str">
        <f>IF(D50&lt;&gt;"",'02 Source Inventory'!T50,"")</f>
        <v/>
      </c>
      <c r="H50" s="37" t="str">
        <f>IF(D50&lt;&gt;"",'02 Source Inventory'!U50,"")</f>
        <v/>
      </c>
      <c r="I50" s="37" t="str">
        <f>IF(D50&lt;&gt;"",IFERROR(_xludf.XLOOKUP(D50,'03 Bronze Intake'!B$6:B$367,'03 Bronze Intake'!V$6:V$367,""),""),"")</f>
        <v/>
      </c>
      <c r="J50" s="37" t="str">
        <f>IF(D50&lt;&gt;"",'02 Source Inventory'!D50,"")</f>
        <v/>
      </c>
    </row>
    <row r="51" spans="4:10" ht="20.100000000000001" customHeight="1" x14ac:dyDescent="0.25">
      <c r="D51" s="37" t="str">
        <f>IF('02 Source Inventory'!B51&lt;&gt;"",'02 Source Inventory'!B51,"")</f>
        <v/>
      </c>
      <c r="E51" s="37" t="str">
        <f>IF(D51&lt;&gt;"",'02 Source Inventory'!C51,"")</f>
        <v/>
      </c>
      <c r="F51" s="37" t="str">
        <f>IF(D51&lt;&gt;"",'02 Source Inventory'!S51,"")</f>
        <v/>
      </c>
      <c r="G51" s="37" t="str">
        <f>IF(D51&lt;&gt;"",'02 Source Inventory'!T51,"")</f>
        <v/>
      </c>
      <c r="H51" s="37" t="str">
        <f>IF(D51&lt;&gt;"",'02 Source Inventory'!U51,"")</f>
        <v/>
      </c>
      <c r="I51" s="37" t="str">
        <f>IF(D51&lt;&gt;"",IFERROR(_xludf.XLOOKUP(D51,'03 Bronze Intake'!B$6:B$367,'03 Bronze Intake'!V$6:V$367,""),""),"")</f>
        <v/>
      </c>
      <c r="J51" s="37" t="str">
        <f>IF(D51&lt;&gt;"",'02 Source Inventory'!D51,"")</f>
        <v/>
      </c>
    </row>
    <row r="52" spans="4:10" ht="20.100000000000001" customHeight="1" x14ac:dyDescent="0.25">
      <c r="D52" s="37" t="str">
        <f>IF('02 Source Inventory'!B52&lt;&gt;"",'02 Source Inventory'!B52,"")</f>
        <v/>
      </c>
      <c r="E52" s="37" t="str">
        <f>IF(D52&lt;&gt;"",'02 Source Inventory'!C52,"")</f>
        <v/>
      </c>
      <c r="F52" s="37" t="str">
        <f>IF(D52&lt;&gt;"",'02 Source Inventory'!S52,"")</f>
        <v/>
      </c>
      <c r="G52" s="37" t="str">
        <f>IF(D52&lt;&gt;"",'02 Source Inventory'!T52,"")</f>
        <v/>
      </c>
      <c r="H52" s="37" t="str">
        <f>IF(D52&lt;&gt;"",'02 Source Inventory'!U52,"")</f>
        <v/>
      </c>
      <c r="I52" s="37" t="str">
        <f>IF(D52&lt;&gt;"",IFERROR(_xludf.XLOOKUP(D52,'03 Bronze Intake'!B$6:B$367,'03 Bronze Intake'!V$6:V$367,""),""),"")</f>
        <v/>
      </c>
      <c r="J52" s="37" t="str">
        <f>IF(D52&lt;&gt;"",'02 Source Inventory'!D52,"")</f>
        <v/>
      </c>
    </row>
    <row r="53" spans="4:10" ht="20.100000000000001" customHeight="1" x14ac:dyDescent="0.25">
      <c r="D53" s="37" t="str">
        <f>IF('02 Source Inventory'!B53&lt;&gt;"",'02 Source Inventory'!B53,"")</f>
        <v/>
      </c>
      <c r="E53" s="37" t="str">
        <f>IF(D53&lt;&gt;"",'02 Source Inventory'!C53,"")</f>
        <v/>
      </c>
      <c r="F53" s="37" t="str">
        <f>IF(D53&lt;&gt;"",'02 Source Inventory'!S53,"")</f>
        <v/>
      </c>
      <c r="G53" s="37" t="str">
        <f>IF(D53&lt;&gt;"",'02 Source Inventory'!T53,"")</f>
        <v/>
      </c>
      <c r="H53" s="37" t="str">
        <f>IF(D53&lt;&gt;"",'02 Source Inventory'!U53,"")</f>
        <v/>
      </c>
      <c r="I53" s="37" t="str">
        <f>IF(D53&lt;&gt;"",IFERROR(_xludf.XLOOKUP(D53,'03 Bronze Intake'!B$6:B$367,'03 Bronze Intake'!V$6:V$367,""),""),"")</f>
        <v/>
      </c>
      <c r="J53" s="37" t="str">
        <f>IF(D53&lt;&gt;"",'02 Source Inventory'!D53,"")</f>
        <v/>
      </c>
    </row>
    <row r="54" spans="4:10" ht="20.100000000000001" customHeight="1" x14ac:dyDescent="0.25">
      <c r="D54" s="37" t="str">
        <f>IF('02 Source Inventory'!B54&lt;&gt;"",'02 Source Inventory'!B54,"")</f>
        <v/>
      </c>
      <c r="E54" s="37" t="str">
        <f>IF(D54&lt;&gt;"",'02 Source Inventory'!C54,"")</f>
        <v/>
      </c>
      <c r="F54" s="37" t="str">
        <f>IF(D54&lt;&gt;"",'02 Source Inventory'!S54,"")</f>
        <v/>
      </c>
      <c r="G54" s="37" t="str">
        <f>IF(D54&lt;&gt;"",'02 Source Inventory'!T54,"")</f>
        <v/>
      </c>
      <c r="H54" s="37" t="str">
        <f>IF(D54&lt;&gt;"",'02 Source Inventory'!U54,"")</f>
        <v/>
      </c>
      <c r="I54" s="37" t="str">
        <f>IF(D54&lt;&gt;"",IFERROR(_xludf.XLOOKUP(D54,'03 Bronze Intake'!B$6:B$367,'03 Bronze Intake'!V$6:V$367,""),""),"")</f>
        <v/>
      </c>
      <c r="J54" s="37" t="str">
        <f>IF(D54&lt;&gt;"",'02 Source Inventory'!D54,"")</f>
        <v/>
      </c>
    </row>
    <row r="55" spans="4:10" ht="20.100000000000001" customHeight="1" x14ac:dyDescent="0.25">
      <c r="D55" s="37" t="str">
        <f>IF('02 Source Inventory'!B55&lt;&gt;"",'02 Source Inventory'!B55,"")</f>
        <v/>
      </c>
      <c r="E55" s="37" t="str">
        <f>IF(D55&lt;&gt;"",'02 Source Inventory'!C55,"")</f>
        <v/>
      </c>
      <c r="F55" s="37" t="str">
        <f>IF(D55&lt;&gt;"",'02 Source Inventory'!S55,"")</f>
        <v/>
      </c>
      <c r="G55" s="37" t="str">
        <f>IF(D55&lt;&gt;"",'02 Source Inventory'!T55,"")</f>
        <v/>
      </c>
      <c r="H55" s="37" t="str">
        <f>IF(D55&lt;&gt;"",'02 Source Inventory'!U55,"")</f>
        <v/>
      </c>
      <c r="I55" s="37" t="str">
        <f>IF(D55&lt;&gt;"",IFERROR(_xludf.XLOOKUP(D55,'03 Bronze Intake'!B$6:B$367,'03 Bronze Intake'!V$6:V$367,""),""),"")</f>
        <v/>
      </c>
      <c r="J55" s="37" t="str">
        <f>IF(D55&lt;&gt;"",'02 Source Inventory'!D55,"")</f>
        <v/>
      </c>
    </row>
    <row r="56" spans="4:10" ht="20.100000000000001" customHeight="1" x14ac:dyDescent="0.25">
      <c r="D56" s="37" t="str">
        <f>IF('02 Source Inventory'!B56&lt;&gt;"",'02 Source Inventory'!B56,"")</f>
        <v/>
      </c>
      <c r="E56" s="37" t="str">
        <f>IF(D56&lt;&gt;"",'02 Source Inventory'!C56,"")</f>
        <v/>
      </c>
      <c r="F56" s="37" t="str">
        <f>IF(D56&lt;&gt;"",'02 Source Inventory'!S56,"")</f>
        <v/>
      </c>
      <c r="G56" s="37" t="str">
        <f>IF(D56&lt;&gt;"",'02 Source Inventory'!T56,"")</f>
        <v/>
      </c>
      <c r="H56" s="37" t="str">
        <f>IF(D56&lt;&gt;"",'02 Source Inventory'!U56,"")</f>
        <v/>
      </c>
      <c r="I56" s="37" t="str">
        <f>IF(D56&lt;&gt;"",IFERROR(_xludf.XLOOKUP(D56,'03 Bronze Intake'!B$6:B$367,'03 Bronze Intake'!V$6:V$367,""),""),"")</f>
        <v/>
      </c>
      <c r="J56" s="37" t="str">
        <f>IF(D56&lt;&gt;"",'02 Source Inventory'!D56,"")</f>
        <v/>
      </c>
    </row>
    <row r="57" spans="4:10" ht="20.100000000000001" customHeight="1" x14ac:dyDescent="0.25">
      <c r="D57" s="37" t="str">
        <f>IF('02 Source Inventory'!B57&lt;&gt;"",'02 Source Inventory'!B57,"")</f>
        <v/>
      </c>
      <c r="E57" s="37" t="str">
        <f>IF(D57&lt;&gt;"",'02 Source Inventory'!C57,"")</f>
        <v/>
      </c>
      <c r="F57" s="37" t="str">
        <f>IF(D57&lt;&gt;"",'02 Source Inventory'!S57,"")</f>
        <v/>
      </c>
      <c r="G57" s="37" t="str">
        <f>IF(D57&lt;&gt;"",'02 Source Inventory'!T57,"")</f>
        <v/>
      </c>
      <c r="H57" s="37" t="str">
        <f>IF(D57&lt;&gt;"",'02 Source Inventory'!U57,"")</f>
        <v/>
      </c>
      <c r="I57" s="37" t="str">
        <f>IF(D57&lt;&gt;"",IFERROR(_xludf.XLOOKUP(D57,'03 Bronze Intake'!B$6:B$367,'03 Bronze Intake'!V$6:V$367,""),""),"")</f>
        <v/>
      </c>
      <c r="J57" s="37" t="str">
        <f>IF(D57&lt;&gt;"",'02 Source Inventory'!D57,"")</f>
        <v/>
      </c>
    </row>
    <row r="58" spans="4:10" ht="20.100000000000001" customHeight="1" x14ac:dyDescent="0.25">
      <c r="D58" s="37" t="str">
        <f>IF('02 Source Inventory'!B58&lt;&gt;"",'02 Source Inventory'!B58,"")</f>
        <v/>
      </c>
      <c r="E58" s="37" t="str">
        <f>IF(D58&lt;&gt;"",'02 Source Inventory'!C58,"")</f>
        <v/>
      </c>
      <c r="F58" s="37" t="str">
        <f>IF(D58&lt;&gt;"",'02 Source Inventory'!S58,"")</f>
        <v/>
      </c>
      <c r="G58" s="37" t="str">
        <f>IF(D58&lt;&gt;"",'02 Source Inventory'!T58,"")</f>
        <v/>
      </c>
      <c r="H58" s="37" t="str">
        <f>IF(D58&lt;&gt;"",'02 Source Inventory'!U58,"")</f>
        <v/>
      </c>
      <c r="I58" s="37" t="str">
        <f>IF(D58&lt;&gt;"",IFERROR(_xludf.XLOOKUP(D58,'03 Bronze Intake'!B$6:B$367,'03 Bronze Intake'!V$6:V$367,""),""),"")</f>
        <v/>
      </c>
      <c r="J58" s="37" t="str">
        <f>IF(D58&lt;&gt;"",'02 Source Inventory'!D58,"")</f>
        <v/>
      </c>
    </row>
    <row r="59" spans="4:10" ht="20.100000000000001" customHeight="1" x14ac:dyDescent="0.25">
      <c r="D59" s="37" t="str">
        <f>IF('02 Source Inventory'!B59&lt;&gt;"",'02 Source Inventory'!B59,"")</f>
        <v/>
      </c>
      <c r="E59" s="37" t="str">
        <f>IF(D59&lt;&gt;"",'02 Source Inventory'!C59,"")</f>
        <v/>
      </c>
      <c r="F59" s="37" t="str">
        <f>IF(D59&lt;&gt;"",'02 Source Inventory'!S59,"")</f>
        <v/>
      </c>
      <c r="G59" s="37" t="str">
        <f>IF(D59&lt;&gt;"",'02 Source Inventory'!T59,"")</f>
        <v/>
      </c>
      <c r="H59" s="37" t="str">
        <f>IF(D59&lt;&gt;"",'02 Source Inventory'!U59,"")</f>
        <v/>
      </c>
      <c r="I59" s="37" t="str">
        <f>IF(D59&lt;&gt;"",IFERROR(_xludf.XLOOKUP(D59,'03 Bronze Intake'!B$6:B$367,'03 Bronze Intake'!V$6:V$367,""),""),"")</f>
        <v/>
      </c>
      <c r="J59" s="37" t="str">
        <f>IF(D59&lt;&gt;"",'02 Source Inventory'!D59,"")</f>
        <v/>
      </c>
    </row>
    <row r="60" spans="4:10" ht="20.100000000000001" customHeight="1" x14ac:dyDescent="0.25">
      <c r="D60" s="37" t="str">
        <f>IF('02 Source Inventory'!B60&lt;&gt;"",'02 Source Inventory'!B60,"")</f>
        <v/>
      </c>
      <c r="E60" s="37" t="str">
        <f>IF(D60&lt;&gt;"",'02 Source Inventory'!C60,"")</f>
        <v/>
      </c>
      <c r="F60" s="37" t="str">
        <f>IF(D60&lt;&gt;"",'02 Source Inventory'!S60,"")</f>
        <v/>
      </c>
      <c r="G60" s="37" t="str">
        <f>IF(D60&lt;&gt;"",'02 Source Inventory'!T60,"")</f>
        <v/>
      </c>
      <c r="H60" s="37" t="str">
        <f>IF(D60&lt;&gt;"",'02 Source Inventory'!U60,"")</f>
        <v/>
      </c>
      <c r="I60" s="37" t="str">
        <f>IF(D60&lt;&gt;"",IFERROR(_xludf.XLOOKUP(D60,'03 Bronze Intake'!B$6:B$367,'03 Bronze Intake'!V$6:V$367,""),""),"")</f>
        <v/>
      </c>
      <c r="J60" s="37" t="str">
        <f>IF(D60&lt;&gt;"",'02 Source Inventory'!D60,"")</f>
        <v/>
      </c>
    </row>
    <row r="61" spans="4:10" ht="20.100000000000001" customHeight="1" x14ac:dyDescent="0.25">
      <c r="D61" s="37" t="str">
        <f>IF('02 Source Inventory'!B61&lt;&gt;"",'02 Source Inventory'!B61,"")</f>
        <v/>
      </c>
      <c r="E61" s="37" t="str">
        <f>IF(D61&lt;&gt;"",'02 Source Inventory'!C61,"")</f>
        <v/>
      </c>
      <c r="F61" s="37" t="str">
        <f>IF(D61&lt;&gt;"",'02 Source Inventory'!S61,"")</f>
        <v/>
      </c>
      <c r="G61" s="37" t="str">
        <f>IF(D61&lt;&gt;"",'02 Source Inventory'!T61,"")</f>
        <v/>
      </c>
      <c r="H61" s="37" t="str">
        <f>IF(D61&lt;&gt;"",'02 Source Inventory'!U61,"")</f>
        <v/>
      </c>
      <c r="I61" s="37" t="str">
        <f>IF(D61&lt;&gt;"",IFERROR(_xludf.XLOOKUP(D61,'03 Bronze Intake'!B$6:B$367,'03 Bronze Intake'!V$6:V$367,""),""),"")</f>
        <v/>
      </c>
      <c r="J61" s="37" t="str">
        <f>IF(D61&lt;&gt;"",'02 Source Inventory'!D61,"")</f>
        <v/>
      </c>
    </row>
    <row r="62" spans="4:10" ht="20.100000000000001" customHeight="1" x14ac:dyDescent="0.25">
      <c r="D62" s="37" t="str">
        <f>IF('02 Source Inventory'!B62&lt;&gt;"",'02 Source Inventory'!B62,"")</f>
        <v/>
      </c>
      <c r="E62" s="37" t="str">
        <f>IF(D62&lt;&gt;"",'02 Source Inventory'!C62,"")</f>
        <v/>
      </c>
      <c r="F62" s="37" t="str">
        <f>IF(D62&lt;&gt;"",'02 Source Inventory'!S62,"")</f>
        <v/>
      </c>
      <c r="G62" s="37" t="str">
        <f>IF(D62&lt;&gt;"",'02 Source Inventory'!T62,"")</f>
        <v/>
      </c>
      <c r="H62" s="37" t="str">
        <f>IF(D62&lt;&gt;"",'02 Source Inventory'!U62,"")</f>
        <v/>
      </c>
      <c r="I62" s="37" t="str">
        <f>IF(D62&lt;&gt;"",IFERROR(_xludf.XLOOKUP(D62,'03 Bronze Intake'!B$6:B$367,'03 Bronze Intake'!V$6:V$367,""),""),"")</f>
        <v/>
      </c>
      <c r="J62" s="37" t="str">
        <f>IF(D62&lt;&gt;"",'02 Source Inventory'!D62,"")</f>
        <v/>
      </c>
    </row>
    <row r="63" spans="4:10" ht="20.100000000000001" customHeight="1" x14ac:dyDescent="0.25">
      <c r="D63" s="37" t="str">
        <f>IF('02 Source Inventory'!B63&lt;&gt;"",'02 Source Inventory'!B63,"")</f>
        <v/>
      </c>
      <c r="E63" s="37" t="str">
        <f>IF(D63&lt;&gt;"",'02 Source Inventory'!C63,"")</f>
        <v/>
      </c>
      <c r="F63" s="37" t="str">
        <f>IF(D63&lt;&gt;"",'02 Source Inventory'!S63,"")</f>
        <v/>
      </c>
      <c r="G63" s="37" t="str">
        <f>IF(D63&lt;&gt;"",'02 Source Inventory'!T63,"")</f>
        <v/>
      </c>
      <c r="H63" s="37" t="str">
        <f>IF(D63&lt;&gt;"",'02 Source Inventory'!U63,"")</f>
        <v/>
      </c>
      <c r="I63" s="37" t="str">
        <f>IF(D63&lt;&gt;"",IFERROR(_xludf.XLOOKUP(D63,'03 Bronze Intake'!B$6:B$367,'03 Bronze Intake'!V$6:V$367,""),""),"")</f>
        <v/>
      </c>
      <c r="J63" s="37" t="str">
        <f>IF(D63&lt;&gt;"",'02 Source Inventory'!D63,"")</f>
        <v/>
      </c>
    </row>
    <row r="64" spans="4:10" ht="20.100000000000001" customHeight="1" x14ac:dyDescent="0.25">
      <c r="D64" s="37" t="str">
        <f>IF('02 Source Inventory'!B64&lt;&gt;"",'02 Source Inventory'!B64,"")</f>
        <v/>
      </c>
      <c r="E64" s="37" t="str">
        <f>IF(D64&lt;&gt;"",'02 Source Inventory'!C64,"")</f>
        <v/>
      </c>
      <c r="F64" s="37" t="str">
        <f>IF(D64&lt;&gt;"",'02 Source Inventory'!S64,"")</f>
        <v/>
      </c>
      <c r="G64" s="37" t="str">
        <f>IF(D64&lt;&gt;"",'02 Source Inventory'!T64,"")</f>
        <v/>
      </c>
      <c r="H64" s="37" t="str">
        <f>IF(D64&lt;&gt;"",'02 Source Inventory'!U64,"")</f>
        <v/>
      </c>
      <c r="I64" s="37" t="str">
        <f>IF(D64&lt;&gt;"",IFERROR(_xludf.XLOOKUP(D64,'03 Bronze Intake'!B$6:B$367,'03 Bronze Intake'!V$6:V$367,""),""),"")</f>
        <v/>
      </c>
      <c r="J64" s="37" t="str">
        <f>IF(D64&lt;&gt;"",'02 Source Inventory'!D64,"")</f>
        <v/>
      </c>
    </row>
    <row r="65" spans="4:10" ht="20.100000000000001" customHeight="1" x14ac:dyDescent="0.25">
      <c r="D65" s="37" t="str">
        <f>IF('02 Source Inventory'!B65&lt;&gt;"",'02 Source Inventory'!B65,"")</f>
        <v/>
      </c>
      <c r="E65" s="37" t="str">
        <f>IF(D65&lt;&gt;"",'02 Source Inventory'!C65,"")</f>
        <v/>
      </c>
      <c r="F65" s="37" t="str">
        <f>IF(D65&lt;&gt;"",'02 Source Inventory'!S65,"")</f>
        <v/>
      </c>
      <c r="G65" s="37" t="str">
        <f>IF(D65&lt;&gt;"",'02 Source Inventory'!T65,"")</f>
        <v/>
      </c>
      <c r="H65" s="37" t="str">
        <f>IF(D65&lt;&gt;"",'02 Source Inventory'!U65,"")</f>
        <v/>
      </c>
      <c r="I65" s="37" t="str">
        <f>IF(D65&lt;&gt;"",IFERROR(_xludf.XLOOKUP(D65,'03 Bronze Intake'!B$6:B$367,'03 Bronze Intake'!V$6:V$367,""),""),"")</f>
        <v/>
      </c>
      <c r="J65" s="37" t="str">
        <f>IF(D65&lt;&gt;"",'02 Source Inventory'!D65,"")</f>
        <v/>
      </c>
    </row>
    <row r="66" spans="4:10" ht="20.100000000000001" customHeight="1" x14ac:dyDescent="0.25">
      <c r="D66" s="37" t="str">
        <f>IF('02 Source Inventory'!B66&lt;&gt;"",'02 Source Inventory'!B66,"")</f>
        <v/>
      </c>
      <c r="E66" s="37" t="str">
        <f>IF(D66&lt;&gt;"",'02 Source Inventory'!C66,"")</f>
        <v/>
      </c>
      <c r="F66" s="37" t="str">
        <f>IF(D66&lt;&gt;"",'02 Source Inventory'!S66,"")</f>
        <v/>
      </c>
      <c r="G66" s="37" t="str">
        <f>IF(D66&lt;&gt;"",'02 Source Inventory'!T66,"")</f>
        <v/>
      </c>
      <c r="H66" s="37" t="str">
        <f>IF(D66&lt;&gt;"",'02 Source Inventory'!U66,"")</f>
        <v/>
      </c>
      <c r="I66" s="37" t="str">
        <f>IF(D66&lt;&gt;"",IFERROR(_xludf.XLOOKUP(D66,'03 Bronze Intake'!B$6:B$367,'03 Bronze Intake'!V$6:V$367,""),""),"")</f>
        <v/>
      </c>
      <c r="J66" s="37" t="str">
        <f>IF(D66&lt;&gt;"",'02 Source Inventory'!D66,"")</f>
        <v/>
      </c>
    </row>
    <row r="67" spans="4:10" ht="20.100000000000001" customHeight="1" x14ac:dyDescent="0.25">
      <c r="D67" s="37" t="str">
        <f>IF('02 Source Inventory'!B67&lt;&gt;"",'02 Source Inventory'!B67,"")</f>
        <v/>
      </c>
      <c r="E67" s="37" t="str">
        <f>IF(D67&lt;&gt;"",'02 Source Inventory'!C67,"")</f>
        <v/>
      </c>
      <c r="F67" s="37" t="str">
        <f>IF(D67&lt;&gt;"",'02 Source Inventory'!S67,"")</f>
        <v/>
      </c>
      <c r="G67" s="37" t="str">
        <f>IF(D67&lt;&gt;"",'02 Source Inventory'!T67,"")</f>
        <v/>
      </c>
      <c r="H67" s="37" t="str">
        <f>IF(D67&lt;&gt;"",'02 Source Inventory'!U67,"")</f>
        <v/>
      </c>
      <c r="I67" s="37" t="str">
        <f>IF(D67&lt;&gt;"",IFERROR(_xludf.XLOOKUP(D67,'03 Bronze Intake'!B$6:B$367,'03 Bronze Intake'!V$6:V$367,""),""),"")</f>
        <v/>
      </c>
      <c r="J67" s="37" t="str">
        <f>IF(D67&lt;&gt;"",'02 Source Inventory'!D67,"")</f>
        <v/>
      </c>
    </row>
    <row r="68" spans="4:10" ht="20.100000000000001" customHeight="1" x14ac:dyDescent="0.25">
      <c r="D68" s="37" t="str">
        <f>IF('02 Source Inventory'!B68&lt;&gt;"",'02 Source Inventory'!B68,"")</f>
        <v/>
      </c>
      <c r="E68" s="37" t="str">
        <f>IF(D68&lt;&gt;"",'02 Source Inventory'!C68,"")</f>
        <v/>
      </c>
      <c r="F68" s="37" t="str">
        <f>IF(D68&lt;&gt;"",'02 Source Inventory'!S68,"")</f>
        <v/>
      </c>
      <c r="G68" s="37" t="str">
        <f>IF(D68&lt;&gt;"",'02 Source Inventory'!T68,"")</f>
        <v/>
      </c>
      <c r="H68" s="37" t="str">
        <f>IF(D68&lt;&gt;"",'02 Source Inventory'!U68,"")</f>
        <v/>
      </c>
      <c r="I68" s="37" t="str">
        <f>IF(D68&lt;&gt;"",IFERROR(_xludf.XLOOKUP(D68,'03 Bronze Intake'!B$6:B$367,'03 Bronze Intake'!V$6:V$367,""),""),"")</f>
        <v/>
      </c>
      <c r="J68" s="37" t="str">
        <f>IF(D68&lt;&gt;"",'02 Source Inventory'!D68,"")</f>
        <v/>
      </c>
    </row>
    <row r="69" spans="4:10" ht="20.100000000000001" customHeight="1" x14ac:dyDescent="0.25">
      <c r="D69" s="37" t="str">
        <f>IF('02 Source Inventory'!B69&lt;&gt;"",'02 Source Inventory'!B69,"")</f>
        <v/>
      </c>
      <c r="E69" s="37" t="str">
        <f>IF(D69&lt;&gt;"",'02 Source Inventory'!C69,"")</f>
        <v/>
      </c>
      <c r="F69" s="37" t="str">
        <f>IF(D69&lt;&gt;"",'02 Source Inventory'!S69,"")</f>
        <v/>
      </c>
      <c r="G69" s="37" t="str">
        <f>IF(D69&lt;&gt;"",'02 Source Inventory'!T69,"")</f>
        <v/>
      </c>
      <c r="H69" s="37" t="str">
        <f>IF(D69&lt;&gt;"",'02 Source Inventory'!U69,"")</f>
        <v/>
      </c>
      <c r="I69" s="37" t="str">
        <f>IF(D69&lt;&gt;"",IFERROR(_xludf.XLOOKUP(D69,'03 Bronze Intake'!B$6:B$367,'03 Bronze Intake'!V$6:V$367,""),""),"")</f>
        <v/>
      </c>
      <c r="J69" s="37" t="str">
        <f>IF(D69&lt;&gt;"",'02 Source Inventory'!D69,"")</f>
        <v/>
      </c>
    </row>
    <row r="70" spans="4:10" ht="20.100000000000001" customHeight="1" x14ac:dyDescent="0.25">
      <c r="D70" s="37" t="str">
        <f>IF('02 Source Inventory'!B70&lt;&gt;"",'02 Source Inventory'!B70,"")</f>
        <v/>
      </c>
      <c r="E70" s="37" t="str">
        <f>IF(D70&lt;&gt;"",'02 Source Inventory'!C70,"")</f>
        <v/>
      </c>
      <c r="F70" s="37" t="str">
        <f>IF(D70&lt;&gt;"",'02 Source Inventory'!S70,"")</f>
        <v/>
      </c>
      <c r="G70" s="37" t="str">
        <f>IF(D70&lt;&gt;"",'02 Source Inventory'!T70,"")</f>
        <v/>
      </c>
      <c r="H70" s="37" t="str">
        <f>IF(D70&lt;&gt;"",'02 Source Inventory'!U70,"")</f>
        <v/>
      </c>
      <c r="I70" s="37" t="str">
        <f>IF(D70&lt;&gt;"",IFERROR(_xludf.XLOOKUP(D70,'03 Bronze Intake'!B$6:B$367,'03 Bronze Intake'!V$6:V$367,""),""),"")</f>
        <v/>
      </c>
      <c r="J70" s="37" t="str">
        <f>IF(D70&lt;&gt;"",'02 Source Inventory'!D70,"")</f>
        <v/>
      </c>
    </row>
    <row r="71" spans="4:10" ht="20.100000000000001" customHeight="1" x14ac:dyDescent="0.25">
      <c r="D71" s="37" t="str">
        <f>IF('02 Source Inventory'!B71&lt;&gt;"",'02 Source Inventory'!B71,"")</f>
        <v/>
      </c>
      <c r="E71" s="37" t="str">
        <f>IF(D71&lt;&gt;"",'02 Source Inventory'!C71,"")</f>
        <v/>
      </c>
      <c r="F71" s="37" t="str">
        <f>IF(D71&lt;&gt;"",'02 Source Inventory'!S71,"")</f>
        <v/>
      </c>
      <c r="G71" s="37" t="str">
        <f>IF(D71&lt;&gt;"",'02 Source Inventory'!T71,"")</f>
        <v/>
      </c>
      <c r="H71" s="37" t="str">
        <f>IF(D71&lt;&gt;"",'02 Source Inventory'!U71,"")</f>
        <v/>
      </c>
      <c r="I71" s="37" t="str">
        <f>IF(D71&lt;&gt;"",IFERROR(_xludf.XLOOKUP(D71,'03 Bronze Intake'!B$6:B$367,'03 Bronze Intake'!V$6:V$367,""),""),"")</f>
        <v/>
      </c>
      <c r="J71" s="37" t="str">
        <f>IF(D71&lt;&gt;"",'02 Source Inventory'!D71,"")</f>
        <v/>
      </c>
    </row>
    <row r="72" spans="4:10" ht="20.100000000000001" customHeight="1" x14ac:dyDescent="0.25">
      <c r="D72" s="37" t="str">
        <f>IF('02 Source Inventory'!B72&lt;&gt;"",'02 Source Inventory'!B72,"")</f>
        <v/>
      </c>
      <c r="E72" s="37" t="str">
        <f>IF(D72&lt;&gt;"",'02 Source Inventory'!C72,"")</f>
        <v/>
      </c>
      <c r="F72" s="37" t="str">
        <f>IF(D72&lt;&gt;"",'02 Source Inventory'!S72,"")</f>
        <v/>
      </c>
      <c r="G72" s="37" t="str">
        <f>IF(D72&lt;&gt;"",'02 Source Inventory'!T72,"")</f>
        <v/>
      </c>
      <c r="H72" s="37" t="str">
        <f>IF(D72&lt;&gt;"",'02 Source Inventory'!U72,"")</f>
        <v/>
      </c>
      <c r="I72" s="37" t="str">
        <f>IF(D72&lt;&gt;"",IFERROR(_xludf.XLOOKUP(D72,'03 Bronze Intake'!B$6:B$367,'03 Bronze Intake'!V$6:V$367,""),""),"")</f>
        <v/>
      </c>
      <c r="J72" s="37" t="str">
        <f>IF(D72&lt;&gt;"",'02 Source Inventory'!D72,"")</f>
        <v/>
      </c>
    </row>
    <row r="73" spans="4:10" ht="20.100000000000001" customHeight="1" x14ac:dyDescent="0.25">
      <c r="D73" s="37" t="str">
        <f>IF('02 Source Inventory'!B73&lt;&gt;"",'02 Source Inventory'!B73,"")</f>
        <v/>
      </c>
      <c r="E73" s="37" t="str">
        <f>IF(D73&lt;&gt;"",'02 Source Inventory'!C73,"")</f>
        <v/>
      </c>
      <c r="F73" s="37" t="str">
        <f>IF(D73&lt;&gt;"",'02 Source Inventory'!S73,"")</f>
        <v/>
      </c>
      <c r="G73" s="37" t="str">
        <f>IF(D73&lt;&gt;"",'02 Source Inventory'!T73,"")</f>
        <v/>
      </c>
      <c r="H73" s="37" t="str">
        <f>IF(D73&lt;&gt;"",'02 Source Inventory'!U73,"")</f>
        <v/>
      </c>
      <c r="I73" s="37" t="str">
        <f>IF(D73&lt;&gt;"",IFERROR(_xludf.XLOOKUP(D73,'03 Bronze Intake'!B$6:B$367,'03 Bronze Intake'!V$6:V$367,""),""),"")</f>
        <v/>
      </c>
      <c r="J73" s="37" t="str">
        <f>IF(D73&lt;&gt;"",'02 Source Inventory'!D73,"")</f>
        <v/>
      </c>
    </row>
    <row r="74" spans="4:10" ht="20.100000000000001" customHeight="1" x14ac:dyDescent="0.25">
      <c r="D74" s="37" t="str">
        <f>IF('02 Source Inventory'!B74&lt;&gt;"",'02 Source Inventory'!B74,"")</f>
        <v/>
      </c>
      <c r="E74" s="37" t="str">
        <f>IF(D74&lt;&gt;"",'02 Source Inventory'!C74,"")</f>
        <v/>
      </c>
      <c r="F74" s="37" t="str">
        <f>IF(D74&lt;&gt;"",'02 Source Inventory'!S74,"")</f>
        <v/>
      </c>
      <c r="G74" s="37" t="str">
        <f>IF(D74&lt;&gt;"",'02 Source Inventory'!T74,"")</f>
        <v/>
      </c>
      <c r="H74" s="37" t="str">
        <f>IF(D74&lt;&gt;"",'02 Source Inventory'!U74,"")</f>
        <v/>
      </c>
      <c r="I74" s="37" t="str">
        <f>IF(D74&lt;&gt;"",IFERROR(_xludf.XLOOKUP(D74,'03 Bronze Intake'!B$6:B$367,'03 Bronze Intake'!V$6:V$367,""),""),"")</f>
        <v/>
      </c>
      <c r="J74" s="37" t="str">
        <f>IF(D74&lt;&gt;"",'02 Source Inventory'!D74,"")</f>
        <v/>
      </c>
    </row>
    <row r="75" spans="4:10" ht="20.100000000000001" customHeight="1" x14ac:dyDescent="0.25">
      <c r="D75" s="37" t="str">
        <f>IF('02 Source Inventory'!B75&lt;&gt;"",'02 Source Inventory'!B75,"")</f>
        <v/>
      </c>
      <c r="E75" s="37" t="str">
        <f>IF(D75&lt;&gt;"",'02 Source Inventory'!C75,"")</f>
        <v/>
      </c>
      <c r="F75" s="37" t="str">
        <f>IF(D75&lt;&gt;"",'02 Source Inventory'!S75,"")</f>
        <v/>
      </c>
      <c r="G75" s="37" t="str">
        <f>IF(D75&lt;&gt;"",'02 Source Inventory'!T75,"")</f>
        <v/>
      </c>
      <c r="H75" s="37" t="str">
        <f>IF(D75&lt;&gt;"",'02 Source Inventory'!U75,"")</f>
        <v/>
      </c>
      <c r="I75" s="37" t="str">
        <f>IF(D75&lt;&gt;"",IFERROR(_xludf.XLOOKUP(D75,'03 Bronze Intake'!B$6:B$367,'03 Bronze Intake'!V$6:V$367,""),""),"")</f>
        <v/>
      </c>
      <c r="J75" s="37" t="str">
        <f>IF(D75&lt;&gt;"",'02 Source Inventory'!D75,"")</f>
        <v/>
      </c>
    </row>
    <row r="76" spans="4:10" ht="20.100000000000001" customHeight="1" x14ac:dyDescent="0.25">
      <c r="D76" s="37" t="str">
        <f>IF('02 Source Inventory'!B76&lt;&gt;"",'02 Source Inventory'!B76,"")</f>
        <v/>
      </c>
      <c r="E76" s="37" t="str">
        <f>IF(D76&lt;&gt;"",'02 Source Inventory'!C76,"")</f>
        <v/>
      </c>
      <c r="F76" s="37" t="str">
        <f>IF(D76&lt;&gt;"",'02 Source Inventory'!S76,"")</f>
        <v/>
      </c>
      <c r="G76" s="37" t="str">
        <f>IF(D76&lt;&gt;"",'02 Source Inventory'!T76,"")</f>
        <v/>
      </c>
      <c r="H76" s="37" t="str">
        <f>IF(D76&lt;&gt;"",'02 Source Inventory'!U76,"")</f>
        <v/>
      </c>
      <c r="I76" s="37" t="str">
        <f>IF(D76&lt;&gt;"",IFERROR(_xludf.XLOOKUP(D76,'03 Bronze Intake'!B$6:B$367,'03 Bronze Intake'!V$6:V$367,""),""),"")</f>
        <v/>
      </c>
      <c r="J76" s="37" t="str">
        <f>IF(D76&lt;&gt;"",'02 Source Inventory'!D76,"")</f>
        <v/>
      </c>
    </row>
    <row r="77" spans="4:10" ht="20.100000000000001" customHeight="1" x14ac:dyDescent="0.25">
      <c r="D77" s="37" t="str">
        <f>IF('02 Source Inventory'!B77&lt;&gt;"",'02 Source Inventory'!B77,"")</f>
        <v/>
      </c>
      <c r="E77" s="37" t="str">
        <f>IF(D77&lt;&gt;"",'02 Source Inventory'!C77,"")</f>
        <v/>
      </c>
      <c r="F77" s="37" t="str">
        <f>IF(D77&lt;&gt;"",'02 Source Inventory'!S77,"")</f>
        <v/>
      </c>
      <c r="G77" s="37" t="str">
        <f>IF(D77&lt;&gt;"",'02 Source Inventory'!T77,"")</f>
        <v/>
      </c>
      <c r="H77" s="37" t="str">
        <f>IF(D77&lt;&gt;"",'02 Source Inventory'!U77,"")</f>
        <v/>
      </c>
      <c r="I77" s="37" t="str">
        <f>IF(D77&lt;&gt;"",IFERROR(_xludf.XLOOKUP(D77,'03 Bronze Intake'!B$6:B$367,'03 Bronze Intake'!V$6:V$367,""),""),"")</f>
        <v/>
      </c>
      <c r="J77" s="37" t="str">
        <f>IF(D77&lt;&gt;"",'02 Source Inventory'!D77,"")</f>
        <v/>
      </c>
    </row>
    <row r="78" spans="4:10" ht="20.100000000000001" customHeight="1" x14ac:dyDescent="0.25">
      <c r="D78" s="37" t="str">
        <f>IF('02 Source Inventory'!B78&lt;&gt;"",'02 Source Inventory'!B78,"")</f>
        <v/>
      </c>
      <c r="E78" s="37" t="str">
        <f>IF(D78&lt;&gt;"",'02 Source Inventory'!C78,"")</f>
        <v/>
      </c>
      <c r="F78" s="37" t="str">
        <f>IF(D78&lt;&gt;"",'02 Source Inventory'!S78,"")</f>
        <v/>
      </c>
      <c r="G78" s="37" t="str">
        <f>IF(D78&lt;&gt;"",'02 Source Inventory'!T78,"")</f>
        <v/>
      </c>
      <c r="H78" s="37" t="str">
        <f>IF(D78&lt;&gt;"",'02 Source Inventory'!U78,"")</f>
        <v/>
      </c>
      <c r="I78" s="37" t="str">
        <f>IF(D78&lt;&gt;"",IFERROR(_xludf.XLOOKUP(D78,'03 Bronze Intake'!B$6:B$367,'03 Bronze Intake'!V$6:V$367,""),""),"")</f>
        <v/>
      </c>
      <c r="J78" s="37" t="str">
        <f>IF(D78&lt;&gt;"",'02 Source Inventory'!D78,"")</f>
        <v/>
      </c>
    </row>
    <row r="79" spans="4:10" ht="20.100000000000001" customHeight="1" x14ac:dyDescent="0.25">
      <c r="D79" s="37" t="str">
        <f>IF('02 Source Inventory'!B79&lt;&gt;"",'02 Source Inventory'!B79,"")</f>
        <v/>
      </c>
      <c r="E79" s="37" t="str">
        <f>IF(D79&lt;&gt;"",'02 Source Inventory'!C79,"")</f>
        <v/>
      </c>
      <c r="F79" s="37" t="str">
        <f>IF(D79&lt;&gt;"",'02 Source Inventory'!S79,"")</f>
        <v/>
      </c>
      <c r="G79" s="37" t="str">
        <f>IF(D79&lt;&gt;"",'02 Source Inventory'!T79,"")</f>
        <v/>
      </c>
      <c r="H79" s="37" t="str">
        <f>IF(D79&lt;&gt;"",'02 Source Inventory'!U79,"")</f>
        <v/>
      </c>
      <c r="I79" s="37" t="str">
        <f>IF(D79&lt;&gt;"",IFERROR(_xludf.XLOOKUP(D79,'03 Bronze Intake'!B$6:B$367,'03 Bronze Intake'!V$6:V$367,""),""),"")</f>
        <v/>
      </c>
      <c r="J79" s="37" t="str">
        <f>IF(D79&lt;&gt;"",'02 Source Inventory'!D79,"")</f>
        <v/>
      </c>
    </row>
    <row r="80" spans="4:10" ht="20.100000000000001" customHeight="1" x14ac:dyDescent="0.25">
      <c r="D80" s="37" t="str">
        <f>IF('02 Source Inventory'!B80&lt;&gt;"",'02 Source Inventory'!B80,"")</f>
        <v/>
      </c>
      <c r="E80" s="37" t="str">
        <f>IF(D80&lt;&gt;"",'02 Source Inventory'!C80,"")</f>
        <v/>
      </c>
      <c r="F80" s="37" t="str">
        <f>IF(D80&lt;&gt;"",'02 Source Inventory'!S80,"")</f>
        <v/>
      </c>
      <c r="G80" s="37" t="str">
        <f>IF(D80&lt;&gt;"",'02 Source Inventory'!T80,"")</f>
        <v/>
      </c>
      <c r="H80" s="37" t="str">
        <f>IF(D80&lt;&gt;"",'02 Source Inventory'!U80,"")</f>
        <v/>
      </c>
      <c r="I80" s="37" t="str">
        <f>IF(D80&lt;&gt;"",IFERROR(_xludf.XLOOKUP(D80,'03 Bronze Intake'!B$6:B$367,'03 Bronze Intake'!V$6:V$367,""),""),"")</f>
        <v/>
      </c>
      <c r="J80" s="37" t="str">
        <f>IF(D80&lt;&gt;"",'02 Source Inventory'!D80,"")</f>
        <v/>
      </c>
    </row>
    <row r="81" spans="4:10" ht="20.100000000000001" customHeight="1" x14ac:dyDescent="0.25">
      <c r="D81" s="37" t="str">
        <f>IF('02 Source Inventory'!B81&lt;&gt;"",'02 Source Inventory'!B81,"")</f>
        <v/>
      </c>
      <c r="E81" s="37" t="str">
        <f>IF(D81&lt;&gt;"",'02 Source Inventory'!C81,"")</f>
        <v/>
      </c>
      <c r="F81" s="37" t="str">
        <f>IF(D81&lt;&gt;"",'02 Source Inventory'!S81,"")</f>
        <v/>
      </c>
      <c r="G81" s="37" t="str">
        <f>IF(D81&lt;&gt;"",'02 Source Inventory'!T81,"")</f>
        <v/>
      </c>
      <c r="H81" s="37" t="str">
        <f>IF(D81&lt;&gt;"",'02 Source Inventory'!U81,"")</f>
        <v/>
      </c>
      <c r="I81" s="37" t="str">
        <f>IF(D81&lt;&gt;"",IFERROR(_xludf.XLOOKUP(D81,'03 Bronze Intake'!B$6:B$367,'03 Bronze Intake'!V$6:V$367,""),""),"")</f>
        <v/>
      </c>
      <c r="J81" s="37" t="str">
        <f>IF(D81&lt;&gt;"",'02 Source Inventory'!D81,"")</f>
        <v/>
      </c>
    </row>
    <row r="82" spans="4:10" ht="20.100000000000001" customHeight="1" x14ac:dyDescent="0.25">
      <c r="D82" s="37" t="str">
        <f>IF('02 Source Inventory'!B82&lt;&gt;"",'02 Source Inventory'!B82,"")</f>
        <v/>
      </c>
      <c r="E82" s="37" t="str">
        <f>IF(D82&lt;&gt;"",'02 Source Inventory'!C82,"")</f>
        <v/>
      </c>
      <c r="F82" s="37" t="str">
        <f>IF(D82&lt;&gt;"",'02 Source Inventory'!S82,"")</f>
        <v/>
      </c>
      <c r="G82" s="37" t="str">
        <f>IF(D82&lt;&gt;"",'02 Source Inventory'!T82,"")</f>
        <v/>
      </c>
      <c r="H82" s="37" t="str">
        <f>IF(D82&lt;&gt;"",'02 Source Inventory'!U82,"")</f>
        <v/>
      </c>
      <c r="I82" s="37" t="str">
        <f>IF(D82&lt;&gt;"",IFERROR(_xludf.XLOOKUP(D82,'03 Bronze Intake'!B$6:B$367,'03 Bronze Intake'!V$6:V$367,""),""),"")</f>
        <v/>
      </c>
      <c r="J82" s="37" t="str">
        <f>IF(D82&lt;&gt;"",'02 Source Inventory'!D82,"")</f>
        <v/>
      </c>
    </row>
    <row r="83" spans="4:10" ht="20.100000000000001" customHeight="1" x14ac:dyDescent="0.25">
      <c r="D83" s="37" t="str">
        <f>IF('02 Source Inventory'!B83&lt;&gt;"",'02 Source Inventory'!B83,"")</f>
        <v/>
      </c>
      <c r="E83" s="37" t="str">
        <f>IF(D83&lt;&gt;"",'02 Source Inventory'!C83,"")</f>
        <v/>
      </c>
      <c r="F83" s="37" t="str">
        <f>IF(D83&lt;&gt;"",'02 Source Inventory'!S83,"")</f>
        <v/>
      </c>
      <c r="G83" s="37" t="str">
        <f>IF(D83&lt;&gt;"",'02 Source Inventory'!T83,"")</f>
        <v/>
      </c>
      <c r="H83" s="37" t="str">
        <f>IF(D83&lt;&gt;"",'02 Source Inventory'!U83,"")</f>
        <v/>
      </c>
      <c r="I83" s="37" t="str">
        <f>IF(D83&lt;&gt;"",IFERROR(_xludf.XLOOKUP(D83,'03 Bronze Intake'!B$6:B$367,'03 Bronze Intake'!V$6:V$367,""),""),"")</f>
        <v/>
      </c>
      <c r="J83" s="37" t="str">
        <f>IF(D83&lt;&gt;"",'02 Source Inventory'!D83,"")</f>
        <v/>
      </c>
    </row>
    <row r="84" spans="4:10" ht="20.100000000000001" customHeight="1" x14ac:dyDescent="0.25">
      <c r="D84" s="37" t="str">
        <f>IF('02 Source Inventory'!B84&lt;&gt;"",'02 Source Inventory'!B84,"")</f>
        <v/>
      </c>
      <c r="E84" s="37" t="str">
        <f>IF(D84&lt;&gt;"",'02 Source Inventory'!C84,"")</f>
        <v/>
      </c>
      <c r="F84" s="37" t="str">
        <f>IF(D84&lt;&gt;"",'02 Source Inventory'!S84,"")</f>
        <v/>
      </c>
      <c r="G84" s="37" t="str">
        <f>IF(D84&lt;&gt;"",'02 Source Inventory'!T84,"")</f>
        <v/>
      </c>
      <c r="H84" s="37" t="str">
        <f>IF(D84&lt;&gt;"",'02 Source Inventory'!U84,"")</f>
        <v/>
      </c>
      <c r="I84" s="37" t="str">
        <f>IF(D84&lt;&gt;"",IFERROR(_xludf.XLOOKUP(D84,'03 Bronze Intake'!B$6:B$367,'03 Bronze Intake'!V$6:V$367,""),""),"")</f>
        <v/>
      </c>
      <c r="J84" s="37" t="str">
        <f>IF(D84&lt;&gt;"",'02 Source Inventory'!D84,"")</f>
        <v/>
      </c>
    </row>
    <row r="85" spans="4:10" ht="20.100000000000001" customHeight="1" x14ac:dyDescent="0.25">
      <c r="D85" s="37" t="str">
        <f>IF('02 Source Inventory'!B85&lt;&gt;"",'02 Source Inventory'!B85,"")</f>
        <v/>
      </c>
      <c r="E85" s="37" t="str">
        <f>IF(D85&lt;&gt;"",'02 Source Inventory'!C85,"")</f>
        <v/>
      </c>
      <c r="F85" s="37" t="str">
        <f>IF(D85&lt;&gt;"",'02 Source Inventory'!S85,"")</f>
        <v/>
      </c>
      <c r="G85" s="37" t="str">
        <f>IF(D85&lt;&gt;"",'02 Source Inventory'!T85,"")</f>
        <v/>
      </c>
      <c r="H85" s="37" t="str">
        <f>IF(D85&lt;&gt;"",'02 Source Inventory'!U85,"")</f>
        <v/>
      </c>
      <c r="I85" s="37" t="str">
        <f>IF(D85&lt;&gt;"",IFERROR(_xludf.XLOOKUP(D85,'03 Bronze Intake'!B$6:B$367,'03 Bronze Intake'!V$6:V$367,""),""),"")</f>
        <v/>
      </c>
      <c r="J85" s="37" t="str">
        <f>IF(D85&lt;&gt;"",'02 Source Inventory'!D85,"")</f>
        <v/>
      </c>
    </row>
    <row r="86" spans="4:10" ht="20.100000000000001" customHeight="1" x14ac:dyDescent="0.25">
      <c r="D86" s="37" t="str">
        <f>IF('02 Source Inventory'!B86&lt;&gt;"",'02 Source Inventory'!B86,"")</f>
        <v/>
      </c>
      <c r="E86" s="37" t="str">
        <f>IF(D86&lt;&gt;"",'02 Source Inventory'!C86,"")</f>
        <v/>
      </c>
      <c r="F86" s="37" t="str">
        <f>IF(D86&lt;&gt;"",'02 Source Inventory'!S86,"")</f>
        <v/>
      </c>
      <c r="G86" s="37" t="str">
        <f>IF(D86&lt;&gt;"",'02 Source Inventory'!T86,"")</f>
        <v/>
      </c>
      <c r="H86" s="37" t="str">
        <f>IF(D86&lt;&gt;"",'02 Source Inventory'!U86,"")</f>
        <v/>
      </c>
      <c r="I86" s="37" t="str">
        <f>IF(D86&lt;&gt;"",IFERROR(_xludf.XLOOKUP(D86,'03 Bronze Intake'!B$6:B$367,'03 Bronze Intake'!V$6:V$367,""),""),"")</f>
        <v/>
      </c>
      <c r="J86" s="37" t="str">
        <f>IF(D86&lt;&gt;"",'02 Source Inventory'!D86,"")</f>
        <v/>
      </c>
    </row>
    <row r="87" spans="4:10" ht="20.100000000000001" customHeight="1" x14ac:dyDescent="0.25">
      <c r="D87" s="37" t="str">
        <f>IF('02 Source Inventory'!B87&lt;&gt;"",'02 Source Inventory'!B87,"")</f>
        <v/>
      </c>
      <c r="E87" s="37" t="str">
        <f>IF(D87&lt;&gt;"",'02 Source Inventory'!C87,"")</f>
        <v/>
      </c>
      <c r="F87" s="37" t="str">
        <f>IF(D87&lt;&gt;"",'02 Source Inventory'!S87,"")</f>
        <v/>
      </c>
      <c r="G87" s="37" t="str">
        <f>IF(D87&lt;&gt;"",'02 Source Inventory'!T87,"")</f>
        <v/>
      </c>
      <c r="H87" s="37" t="str">
        <f>IF(D87&lt;&gt;"",'02 Source Inventory'!U87,"")</f>
        <v/>
      </c>
      <c r="I87" s="37" t="str">
        <f>IF(D87&lt;&gt;"",IFERROR(_xludf.XLOOKUP(D87,'03 Bronze Intake'!B$6:B$367,'03 Bronze Intake'!V$6:V$367,""),""),"")</f>
        <v/>
      </c>
      <c r="J87" s="37" t="str">
        <f>IF(D87&lt;&gt;"",'02 Source Inventory'!D87,"")</f>
        <v/>
      </c>
    </row>
    <row r="88" spans="4:10" ht="20.100000000000001" customHeight="1" x14ac:dyDescent="0.25">
      <c r="D88" s="37" t="str">
        <f>IF('02 Source Inventory'!B88&lt;&gt;"",'02 Source Inventory'!B88,"")</f>
        <v/>
      </c>
      <c r="E88" s="37" t="str">
        <f>IF(D88&lt;&gt;"",'02 Source Inventory'!C88,"")</f>
        <v/>
      </c>
      <c r="F88" s="37" t="str">
        <f>IF(D88&lt;&gt;"",'02 Source Inventory'!S88,"")</f>
        <v/>
      </c>
      <c r="G88" s="37" t="str">
        <f>IF(D88&lt;&gt;"",'02 Source Inventory'!T88,"")</f>
        <v/>
      </c>
      <c r="H88" s="37" t="str">
        <f>IF(D88&lt;&gt;"",'02 Source Inventory'!U88,"")</f>
        <v/>
      </c>
      <c r="I88" s="37" t="str">
        <f>IF(D88&lt;&gt;"",IFERROR(_xludf.XLOOKUP(D88,'03 Bronze Intake'!B$6:B$367,'03 Bronze Intake'!V$6:V$367,""),""),"")</f>
        <v/>
      </c>
      <c r="J88" s="37" t="str">
        <f>IF(D88&lt;&gt;"",'02 Source Inventory'!D88,"")</f>
        <v/>
      </c>
    </row>
    <row r="89" spans="4:10" ht="20.100000000000001" customHeight="1" x14ac:dyDescent="0.25">
      <c r="D89" s="37" t="str">
        <f>IF('02 Source Inventory'!B89&lt;&gt;"",'02 Source Inventory'!B89,"")</f>
        <v/>
      </c>
      <c r="E89" s="37" t="str">
        <f>IF(D89&lt;&gt;"",'02 Source Inventory'!C89,"")</f>
        <v/>
      </c>
      <c r="F89" s="37" t="str">
        <f>IF(D89&lt;&gt;"",'02 Source Inventory'!S89,"")</f>
        <v/>
      </c>
      <c r="G89" s="37" t="str">
        <f>IF(D89&lt;&gt;"",'02 Source Inventory'!T89,"")</f>
        <v/>
      </c>
      <c r="H89" s="37" t="str">
        <f>IF(D89&lt;&gt;"",'02 Source Inventory'!U89,"")</f>
        <v/>
      </c>
      <c r="I89" s="37" t="str">
        <f>IF(D89&lt;&gt;"",IFERROR(_xludf.XLOOKUP(D89,'03 Bronze Intake'!B$6:B$367,'03 Bronze Intake'!V$6:V$367,""),""),"")</f>
        <v/>
      </c>
      <c r="J89" s="37" t="str">
        <f>IF(D89&lt;&gt;"",'02 Source Inventory'!D89,"")</f>
        <v/>
      </c>
    </row>
    <row r="90" spans="4:10" ht="20.100000000000001" customHeight="1" x14ac:dyDescent="0.25">
      <c r="D90" s="37" t="str">
        <f>IF('02 Source Inventory'!B90&lt;&gt;"",'02 Source Inventory'!B90,"")</f>
        <v/>
      </c>
      <c r="E90" s="37" t="str">
        <f>IF(D90&lt;&gt;"",'02 Source Inventory'!C90,"")</f>
        <v/>
      </c>
      <c r="F90" s="37" t="str">
        <f>IF(D90&lt;&gt;"",'02 Source Inventory'!S90,"")</f>
        <v/>
      </c>
      <c r="G90" s="37" t="str">
        <f>IF(D90&lt;&gt;"",'02 Source Inventory'!T90,"")</f>
        <v/>
      </c>
      <c r="H90" s="37" t="str">
        <f>IF(D90&lt;&gt;"",'02 Source Inventory'!U90,"")</f>
        <v/>
      </c>
      <c r="I90" s="37" t="str">
        <f>IF(D90&lt;&gt;"",IFERROR(_xludf.XLOOKUP(D90,'03 Bronze Intake'!B$6:B$367,'03 Bronze Intake'!V$6:V$367,""),""),"")</f>
        <v/>
      </c>
      <c r="J90" s="37" t="str">
        <f>IF(D90&lt;&gt;"",'02 Source Inventory'!D90,"")</f>
        <v/>
      </c>
    </row>
    <row r="91" spans="4:10" ht="20.100000000000001" customHeight="1" x14ac:dyDescent="0.25">
      <c r="D91" s="37" t="str">
        <f>IF('02 Source Inventory'!B91&lt;&gt;"",'02 Source Inventory'!B91,"")</f>
        <v/>
      </c>
      <c r="E91" s="37" t="str">
        <f>IF(D91&lt;&gt;"",'02 Source Inventory'!C91,"")</f>
        <v/>
      </c>
      <c r="F91" s="37" t="str">
        <f>IF(D91&lt;&gt;"",'02 Source Inventory'!S91,"")</f>
        <v/>
      </c>
      <c r="G91" s="37" t="str">
        <f>IF(D91&lt;&gt;"",'02 Source Inventory'!T91,"")</f>
        <v/>
      </c>
      <c r="H91" s="37" t="str">
        <f>IF(D91&lt;&gt;"",'02 Source Inventory'!U91,"")</f>
        <v/>
      </c>
      <c r="I91" s="37" t="str">
        <f>IF(D91&lt;&gt;"",IFERROR(_xludf.XLOOKUP(D91,'03 Bronze Intake'!B$6:B$367,'03 Bronze Intake'!V$6:V$367,""),""),"")</f>
        <v/>
      </c>
      <c r="J91" s="37" t="str">
        <f>IF(D91&lt;&gt;"",'02 Source Inventory'!D91,"")</f>
        <v/>
      </c>
    </row>
    <row r="92" spans="4:10" ht="20.100000000000001" customHeight="1" x14ac:dyDescent="0.25">
      <c r="D92" s="37" t="str">
        <f>IF('02 Source Inventory'!B92&lt;&gt;"",'02 Source Inventory'!B92,"")</f>
        <v/>
      </c>
      <c r="E92" s="37" t="str">
        <f>IF(D92&lt;&gt;"",'02 Source Inventory'!C92,"")</f>
        <v/>
      </c>
      <c r="F92" s="37" t="str">
        <f>IF(D92&lt;&gt;"",'02 Source Inventory'!S92,"")</f>
        <v/>
      </c>
      <c r="G92" s="37" t="str">
        <f>IF(D92&lt;&gt;"",'02 Source Inventory'!T92,"")</f>
        <v/>
      </c>
      <c r="H92" s="37" t="str">
        <f>IF(D92&lt;&gt;"",'02 Source Inventory'!U92,"")</f>
        <v/>
      </c>
      <c r="I92" s="37" t="str">
        <f>IF(D92&lt;&gt;"",IFERROR(_xludf.XLOOKUP(D92,'03 Bronze Intake'!B$6:B$367,'03 Bronze Intake'!V$6:V$367,""),""),"")</f>
        <v/>
      </c>
      <c r="J92" s="37" t="str">
        <f>IF(D92&lt;&gt;"",'02 Source Inventory'!D92,"")</f>
        <v/>
      </c>
    </row>
    <row r="93" spans="4:10" ht="20.100000000000001" customHeight="1" x14ac:dyDescent="0.25">
      <c r="D93" s="37" t="str">
        <f>IF('02 Source Inventory'!B93&lt;&gt;"",'02 Source Inventory'!B93,"")</f>
        <v/>
      </c>
      <c r="E93" s="37" t="str">
        <f>IF(D93&lt;&gt;"",'02 Source Inventory'!C93,"")</f>
        <v/>
      </c>
      <c r="F93" s="37" t="str">
        <f>IF(D93&lt;&gt;"",'02 Source Inventory'!S93,"")</f>
        <v/>
      </c>
      <c r="G93" s="37" t="str">
        <f>IF(D93&lt;&gt;"",'02 Source Inventory'!T93,"")</f>
        <v/>
      </c>
      <c r="H93" s="37" t="str">
        <f>IF(D93&lt;&gt;"",'02 Source Inventory'!U93,"")</f>
        <v/>
      </c>
      <c r="I93" s="37" t="str">
        <f>IF(D93&lt;&gt;"",IFERROR(_xludf.XLOOKUP(D93,'03 Bronze Intake'!B$6:B$367,'03 Bronze Intake'!V$6:V$367,""),""),"")</f>
        <v/>
      </c>
      <c r="J93" s="37" t="str">
        <f>IF(D93&lt;&gt;"",'02 Source Inventory'!D93,"")</f>
        <v/>
      </c>
    </row>
    <row r="94" spans="4:10" ht="20.100000000000001" customHeight="1" x14ac:dyDescent="0.25">
      <c r="D94" s="37" t="str">
        <f>IF('02 Source Inventory'!B94&lt;&gt;"",'02 Source Inventory'!B94,"")</f>
        <v/>
      </c>
      <c r="E94" s="37" t="str">
        <f>IF(D94&lt;&gt;"",'02 Source Inventory'!C94,"")</f>
        <v/>
      </c>
      <c r="F94" s="37" t="str">
        <f>IF(D94&lt;&gt;"",'02 Source Inventory'!S94,"")</f>
        <v/>
      </c>
      <c r="G94" s="37" t="str">
        <f>IF(D94&lt;&gt;"",'02 Source Inventory'!T94,"")</f>
        <v/>
      </c>
      <c r="H94" s="37" t="str">
        <f>IF(D94&lt;&gt;"",'02 Source Inventory'!U94,"")</f>
        <v/>
      </c>
      <c r="I94" s="37" t="str">
        <f>IF(D94&lt;&gt;"",IFERROR(_xludf.XLOOKUP(D94,'03 Bronze Intake'!B$6:B$367,'03 Bronze Intake'!V$6:V$367,""),""),"")</f>
        <v/>
      </c>
      <c r="J94" s="37" t="str">
        <f>IF(D94&lt;&gt;"",'02 Source Inventory'!D94,"")</f>
        <v/>
      </c>
    </row>
    <row r="95" spans="4:10" ht="20.100000000000001" customHeight="1" x14ac:dyDescent="0.25">
      <c r="D95" s="37" t="str">
        <f>IF('02 Source Inventory'!B95&lt;&gt;"",'02 Source Inventory'!B95,"")</f>
        <v/>
      </c>
      <c r="E95" s="37" t="str">
        <f>IF(D95&lt;&gt;"",'02 Source Inventory'!C95,"")</f>
        <v/>
      </c>
      <c r="F95" s="37" t="str">
        <f>IF(D95&lt;&gt;"",'02 Source Inventory'!S95,"")</f>
        <v/>
      </c>
      <c r="G95" s="37" t="str">
        <f>IF(D95&lt;&gt;"",'02 Source Inventory'!T95,"")</f>
        <v/>
      </c>
      <c r="H95" s="37" t="str">
        <f>IF(D95&lt;&gt;"",'02 Source Inventory'!U95,"")</f>
        <v/>
      </c>
      <c r="I95" s="37" t="str">
        <f>IF(D95&lt;&gt;"",IFERROR(_xludf.XLOOKUP(D95,'03 Bronze Intake'!B$6:B$367,'03 Bronze Intake'!V$6:V$367,""),""),"")</f>
        <v/>
      </c>
      <c r="J95" s="37" t="str">
        <f>IF(D95&lt;&gt;"",'02 Source Inventory'!D95,"")</f>
        <v/>
      </c>
    </row>
    <row r="96" spans="4:10" ht="20.100000000000001" customHeight="1" x14ac:dyDescent="0.25">
      <c r="D96" s="37" t="str">
        <f>IF('02 Source Inventory'!B96&lt;&gt;"",'02 Source Inventory'!B96,"")</f>
        <v/>
      </c>
      <c r="E96" s="37" t="str">
        <f>IF(D96&lt;&gt;"",'02 Source Inventory'!C96,"")</f>
        <v/>
      </c>
      <c r="F96" s="37" t="str">
        <f>IF(D96&lt;&gt;"",'02 Source Inventory'!S96,"")</f>
        <v/>
      </c>
      <c r="G96" s="37" t="str">
        <f>IF(D96&lt;&gt;"",'02 Source Inventory'!T96,"")</f>
        <v/>
      </c>
      <c r="H96" s="37" t="str">
        <f>IF(D96&lt;&gt;"",'02 Source Inventory'!U96,"")</f>
        <v/>
      </c>
      <c r="I96" s="37" t="str">
        <f>IF(D96&lt;&gt;"",IFERROR(_xludf.XLOOKUP(D96,'03 Bronze Intake'!B$6:B$367,'03 Bronze Intake'!V$6:V$367,""),""),"")</f>
        <v/>
      </c>
      <c r="J96" s="37" t="str">
        <f>IF(D96&lt;&gt;"",'02 Source Inventory'!D96,"")</f>
        <v/>
      </c>
    </row>
    <row r="97" spans="4:10" ht="20.100000000000001" customHeight="1" x14ac:dyDescent="0.25">
      <c r="D97" s="37" t="str">
        <f>IF('02 Source Inventory'!B97&lt;&gt;"",'02 Source Inventory'!B97,"")</f>
        <v/>
      </c>
      <c r="E97" s="37" t="str">
        <f>IF(D97&lt;&gt;"",'02 Source Inventory'!C97,"")</f>
        <v/>
      </c>
      <c r="F97" s="37" t="str">
        <f>IF(D97&lt;&gt;"",'02 Source Inventory'!S97,"")</f>
        <v/>
      </c>
      <c r="G97" s="37" t="str">
        <f>IF(D97&lt;&gt;"",'02 Source Inventory'!T97,"")</f>
        <v/>
      </c>
      <c r="H97" s="37" t="str">
        <f>IF(D97&lt;&gt;"",'02 Source Inventory'!U97,"")</f>
        <v/>
      </c>
      <c r="I97" s="37" t="str">
        <f>IF(D97&lt;&gt;"",IFERROR(_xludf.XLOOKUP(D97,'03 Bronze Intake'!B$6:B$367,'03 Bronze Intake'!V$6:V$367,""),""),"")</f>
        <v/>
      </c>
      <c r="J97" s="37" t="str">
        <f>IF(D97&lt;&gt;"",'02 Source Inventory'!D97,"")</f>
        <v/>
      </c>
    </row>
    <row r="98" spans="4:10" ht="20.100000000000001" customHeight="1" x14ac:dyDescent="0.25">
      <c r="D98" s="37" t="str">
        <f>IF('02 Source Inventory'!B98&lt;&gt;"",'02 Source Inventory'!B98,"")</f>
        <v/>
      </c>
      <c r="E98" s="37" t="str">
        <f>IF(D98&lt;&gt;"",'02 Source Inventory'!C98,"")</f>
        <v/>
      </c>
      <c r="F98" s="37" t="str">
        <f>IF(D98&lt;&gt;"",'02 Source Inventory'!S98,"")</f>
        <v/>
      </c>
      <c r="G98" s="37" t="str">
        <f>IF(D98&lt;&gt;"",'02 Source Inventory'!T98,"")</f>
        <v/>
      </c>
      <c r="H98" s="37" t="str">
        <f>IF(D98&lt;&gt;"",'02 Source Inventory'!U98,"")</f>
        <v/>
      </c>
      <c r="I98" s="37" t="str">
        <f>IF(D98&lt;&gt;"",IFERROR(_xludf.XLOOKUP(D98,'03 Bronze Intake'!B$6:B$367,'03 Bronze Intake'!V$6:V$367,""),""),"")</f>
        <v/>
      </c>
      <c r="J98" s="37" t="str">
        <f>IF(D98&lt;&gt;"",'02 Source Inventory'!D98,"")</f>
        <v/>
      </c>
    </row>
    <row r="99" spans="4:10" ht="20.100000000000001" customHeight="1" x14ac:dyDescent="0.25">
      <c r="D99" s="37" t="str">
        <f>IF('02 Source Inventory'!B99&lt;&gt;"",'02 Source Inventory'!B99,"")</f>
        <v/>
      </c>
      <c r="E99" s="37" t="str">
        <f>IF(D99&lt;&gt;"",'02 Source Inventory'!C99,"")</f>
        <v/>
      </c>
      <c r="F99" s="37" t="str">
        <f>IF(D99&lt;&gt;"",'02 Source Inventory'!S99,"")</f>
        <v/>
      </c>
      <c r="G99" s="37" t="str">
        <f>IF(D99&lt;&gt;"",'02 Source Inventory'!T99,"")</f>
        <v/>
      </c>
      <c r="H99" s="37" t="str">
        <f>IF(D99&lt;&gt;"",'02 Source Inventory'!U99,"")</f>
        <v/>
      </c>
      <c r="I99" s="37" t="str">
        <f>IF(D99&lt;&gt;"",IFERROR(_xludf.XLOOKUP(D99,'03 Bronze Intake'!B$6:B$367,'03 Bronze Intake'!V$6:V$367,""),""),"")</f>
        <v/>
      </c>
      <c r="J99" s="37" t="str">
        <f>IF(D99&lt;&gt;"",'02 Source Inventory'!D99,"")</f>
        <v/>
      </c>
    </row>
    <row r="100" spans="4:10" ht="20.100000000000001" customHeight="1" x14ac:dyDescent="0.25">
      <c r="D100" s="37" t="str">
        <f>IF('02 Source Inventory'!B100&lt;&gt;"",'02 Source Inventory'!B100,"")</f>
        <v/>
      </c>
      <c r="E100" s="37" t="str">
        <f>IF(D100&lt;&gt;"",'02 Source Inventory'!C100,"")</f>
        <v/>
      </c>
      <c r="F100" s="37" t="str">
        <f>IF(D100&lt;&gt;"",'02 Source Inventory'!S100,"")</f>
        <v/>
      </c>
      <c r="G100" s="37" t="str">
        <f>IF(D100&lt;&gt;"",'02 Source Inventory'!T100,"")</f>
        <v/>
      </c>
      <c r="H100" s="37" t="str">
        <f>IF(D100&lt;&gt;"",'02 Source Inventory'!U100,"")</f>
        <v/>
      </c>
      <c r="I100" s="37" t="str">
        <f>IF(D100&lt;&gt;"",IFERROR(_xludf.XLOOKUP(D100,'03 Bronze Intake'!B$6:B$367,'03 Bronze Intake'!V$6:V$367,""),""),"")</f>
        <v/>
      </c>
      <c r="J100" s="37" t="str">
        <f>IF(D100&lt;&gt;"",'02 Source Inventory'!D100,"")</f>
        <v/>
      </c>
    </row>
    <row r="101" spans="4:10" ht="20.100000000000001" customHeight="1" x14ac:dyDescent="0.25">
      <c r="D101" s="37" t="str">
        <f>IF('02 Source Inventory'!B101&lt;&gt;"",'02 Source Inventory'!B101,"")</f>
        <v/>
      </c>
      <c r="E101" s="37" t="str">
        <f>IF(D101&lt;&gt;"",'02 Source Inventory'!C101,"")</f>
        <v/>
      </c>
      <c r="F101" s="37" t="str">
        <f>IF(D101&lt;&gt;"",'02 Source Inventory'!S101,"")</f>
        <v/>
      </c>
      <c r="G101" s="37" t="str">
        <f>IF(D101&lt;&gt;"",'02 Source Inventory'!T101,"")</f>
        <v/>
      </c>
      <c r="H101" s="37" t="str">
        <f>IF(D101&lt;&gt;"",'02 Source Inventory'!U101,"")</f>
        <v/>
      </c>
      <c r="I101" s="37" t="str">
        <f>IF(D101&lt;&gt;"",IFERROR(_xludf.XLOOKUP(D101,'03 Bronze Intake'!B$6:B$367,'03 Bronze Intake'!V$6:V$367,""),""),"")</f>
        <v/>
      </c>
      <c r="J101" s="37" t="str">
        <f>IF(D101&lt;&gt;"",'02 Source Inventory'!D101,"")</f>
        <v/>
      </c>
    </row>
    <row r="102" spans="4:10" ht="20.100000000000001" customHeight="1" x14ac:dyDescent="0.25">
      <c r="D102" s="37" t="str">
        <f>IF('02 Source Inventory'!B102&lt;&gt;"",'02 Source Inventory'!B102,"")</f>
        <v/>
      </c>
      <c r="E102" s="37" t="str">
        <f>IF(D102&lt;&gt;"",'02 Source Inventory'!C102,"")</f>
        <v/>
      </c>
      <c r="F102" s="37" t="str">
        <f>IF(D102&lt;&gt;"",'02 Source Inventory'!S102,"")</f>
        <v/>
      </c>
      <c r="G102" s="37" t="str">
        <f>IF(D102&lt;&gt;"",'02 Source Inventory'!T102,"")</f>
        <v/>
      </c>
      <c r="H102" s="37" t="str">
        <f>IF(D102&lt;&gt;"",'02 Source Inventory'!U102,"")</f>
        <v/>
      </c>
      <c r="I102" s="37" t="str">
        <f>IF(D102&lt;&gt;"",IFERROR(_xludf.XLOOKUP(D102,'03 Bronze Intake'!B$6:B$367,'03 Bronze Intake'!V$6:V$367,""),""),"")</f>
        <v/>
      </c>
      <c r="J102" s="37" t="str">
        <f>IF(D102&lt;&gt;"",'02 Source Inventory'!D102,"")</f>
        <v/>
      </c>
    </row>
    <row r="103" spans="4:10" ht="20.100000000000001" customHeight="1" x14ac:dyDescent="0.25">
      <c r="D103" s="37" t="str">
        <f>IF('02 Source Inventory'!B103&lt;&gt;"",'02 Source Inventory'!B103,"")</f>
        <v/>
      </c>
      <c r="E103" s="37" t="str">
        <f>IF(D103&lt;&gt;"",'02 Source Inventory'!C103,"")</f>
        <v/>
      </c>
      <c r="F103" s="37" t="str">
        <f>IF(D103&lt;&gt;"",'02 Source Inventory'!S103,"")</f>
        <v/>
      </c>
      <c r="G103" s="37" t="str">
        <f>IF(D103&lt;&gt;"",'02 Source Inventory'!T103,"")</f>
        <v/>
      </c>
      <c r="H103" s="37" t="str">
        <f>IF(D103&lt;&gt;"",'02 Source Inventory'!U103,"")</f>
        <v/>
      </c>
      <c r="I103" s="37" t="str">
        <f>IF(D103&lt;&gt;"",IFERROR(_xludf.XLOOKUP(D103,'03 Bronze Intake'!B$6:B$367,'03 Bronze Intake'!V$6:V$367,""),""),"")</f>
        <v/>
      </c>
      <c r="J103" s="37" t="str">
        <f>IF(D103&lt;&gt;"",'02 Source Inventory'!D103,"")</f>
        <v/>
      </c>
    </row>
    <row r="104" spans="4:10" ht="20.100000000000001" customHeight="1" x14ac:dyDescent="0.25">
      <c r="D104" s="37" t="str">
        <f>IF('02 Source Inventory'!B104&lt;&gt;"",'02 Source Inventory'!B104,"")</f>
        <v/>
      </c>
      <c r="E104" s="37" t="str">
        <f>IF(D104&lt;&gt;"",'02 Source Inventory'!C104,"")</f>
        <v/>
      </c>
      <c r="F104" s="37" t="str">
        <f>IF(D104&lt;&gt;"",'02 Source Inventory'!S104,"")</f>
        <v/>
      </c>
      <c r="G104" s="37" t="str">
        <f>IF(D104&lt;&gt;"",'02 Source Inventory'!T104,"")</f>
        <v/>
      </c>
      <c r="H104" s="37" t="str">
        <f>IF(D104&lt;&gt;"",'02 Source Inventory'!U104,"")</f>
        <v/>
      </c>
      <c r="I104" s="37" t="str">
        <f>IF(D104&lt;&gt;"",IFERROR(_xludf.XLOOKUP(D104,'03 Bronze Intake'!B$6:B$367,'03 Bronze Intake'!V$6:V$367,""),""),"")</f>
        <v/>
      </c>
      <c r="J104" s="37" t="str">
        <f>IF(D104&lt;&gt;"",'02 Source Inventory'!D104,"")</f>
        <v/>
      </c>
    </row>
    <row r="105" spans="4:10" ht="20.100000000000001" customHeight="1" x14ac:dyDescent="0.25">
      <c r="D105" s="37" t="str">
        <f>IF('02 Source Inventory'!B105&lt;&gt;"",'02 Source Inventory'!B105,"")</f>
        <v/>
      </c>
      <c r="E105" s="37" t="str">
        <f>IF(D105&lt;&gt;"",'02 Source Inventory'!C105,"")</f>
        <v/>
      </c>
      <c r="F105" s="37" t="str">
        <f>IF(D105&lt;&gt;"",'02 Source Inventory'!S105,"")</f>
        <v/>
      </c>
      <c r="G105" s="37" t="str">
        <f>IF(D105&lt;&gt;"",'02 Source Inventory'!T105,"")</f>
        <v/>
      </c>
      <c r="H105" s="37" t="str">
        <f>IF(D105&lt;&gt;"",'02 Source Inventory'!U105,"")</f>
        <v/>
      </c>
      <c r="I105" s="37" t="str">
        <f>IF(D105&lt;&gt;"",IFERROR(_xludf.XLOOKUP(D105,'03 Bronze Intake'!B$6:B$367,'03 Bronze Intake'!V$6:V$367,""),""),"")</f>
        <v/>
      </c>
      <c r="J105" s="37" t="str">
        <f>IF(D105&lt;&gt;"",'02 Source Inventory'!D105,"")</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04"/>
  <sheetViews>
    <sheetView workbookViewId="0">
      <pane ySplit="3" topLeftCell="A4" activePane="bottomLeft" state="frozen"/>
      <selection pane="bottomLeft"/>
    </sheetView>
  </sheetViews>
  <sheetFormatPr defaultRowHeight="15" x14ac:dyDescent="0.25"/>
  <cols>
    <col min="1" max="2" width="18" style="1" customWidth="1"/>
    <col min="3" max="3" width="20" style="1" customWidth="1"/>
    <col min="4" max="4" width="28" style="1" customWidth="1"/>
    <col min="5" max="5" width="16" style="1" customWidth="1"/>
    <col min="6" max="6" width="20" style="1" customWidth="1"/>
    <col min="7" max="7" width="28" style="1" customWidth="1"/>
    <col min="8" max="8" width="18" style="1" customWidth="1"/>
    <col min="9" max="9" width="24" style="1" customWidth="1"/>
    <col min="10" max="10" width="16" style="1" customWidth="1"/>
    <col min="11" max="12" width="14" style="1" customWidth="1"/>
    <col min="13" max="14" width="18" style="1" customWidth="1"/>
    <col min="15" max="15" width="14" style="1" customWidth="1"/>
    <col min="16" max="16" width="20" style="1" customWidth="1"/>
    <col min="17" max="17" width="16" style="1" customWidth="1"/>
    <col min="18" max="19" width="14" style="1" customWidth="1"/>
  </cols>
  <sheetData>
    <row r="1" spans="1:17" ht="24" customHeight="1" x14ac:dyDescent="0.25">
      <c r="A1" s="53" t="s">
        <v>583</v>
      </c>
      <c r="B1" s="53"/>
      <c r="C1" s="53"/>
      <c r="D1" s="53"/>
      <c r="E1" s="53"/>
      <c r="F1" s="53"/>
      <c r="G1" s="53"/>
      <c r="H1" s="53"/>
      <c r="I1" s="53"/>
      <c r="J1" s="53"/>
      <c r="K1" s="53"/>
      <c r="L1" s="53"/>
      <c r="M1" s="53"/>
      <c r="N1" s="53"/>
      <c r="O1" s="53"/>
      <c r="P1" s="53"/>
      <c r="Q1" s="53"/>
    </row>
    <row r="2" spans="1:17" ht="33.950000000000003" customHeight="1" x14ac:dyDescent="0.25">
      <c r="A2" s="54" t="s">
        <v>584</v>
      </c>
      <c r="B2" s="54"/>
      <c r="C2" s="54"/>
      <c r="D2" s="54"/>
      <c r="E2" s="54"/>
      <c r="F2" s="54"/>
      <c r="G2" s="54"/>
      <c r="H2" s="54"/>
      <c r="I2" s="54"/>
      <c r="J2" s="54"/>
      <c r="K2" s="54"/>
      <c r="L2" s="54"/>
      <c r="M2" s="54"/>
      <c r="N2" s="54"/>
      <c r="O2" s="54"/>
      <c r="P2" s="54"/>
      <c r="Q2" s="54"/>
    </row>
    <row r="4" spans="1:17" ht="20.100000000000001" customHeight="1" x14ac:dyDescent="0.25">
      <c r="A4" s="55" t="s">
        <v>93</v>
      </c>
      <c r="B4" s="55" t="s">
        <v>195</v>
      </c>
      <c r="C4" s="55" t="s">
        <v>101</v>
      </c>
      <c r="D4" s="55" t="s">
        <v>196</v>
      </c>
      <c r="E4" s="55" t="s">
        <v>197</v>
      </c>
      <c r="F4" s="55" t="s">
        <v>199</v>
      </c>
      <c r="G4" s="55" t="s">
        <v>585</v>
      </c>
      <c r="H4" s="55" t="s">
        <v>205</v>
      </c>
      <c r="I4" s="55" t="s">
        <v>206</v>
      </c>
      <c r="J4" s="55" t="s">
        <v>207</v>
      </c>
      <c r="K4" s="55" t="s">
        <v>208</v>
      </c>
      <c r="L4" s="55" t="s">
        <v>209</v>
      </c>
      <c r="M4" s="55" t="s">
        <v>210</v>
      </c>
      <c r="N4" s="55" t="s">
        <v>211</v>
      </c>
      <c r="O4" s="55" t="s">
        <v>212</v>
      </c>
      <c r="P4" s="55" t="s">
        <v>586</v>
      </c>
      <c r="Q4" s="55" t="s">
        <v>216</v>
      </c>
    </row>
    <row r="5" spans="1:17" x14ac:dyDescent="0.25">
      <c r="A5" t="str">
        <f t="array" ref="A5:A6">IF('04B Silver Field Treatment'!A6&lt;&gt;"",'04B Silver Field Treatment'!A6,"")</f>
        <v>Enterprise Licensing System</v>
      </c>
      <c r="B5" t="str">
        <f>IF(A5&lt;&gt;"",'04B Silver Field Treatment'!B6,"")</f>
        <v>brz_licensing_license_master</v>
      </c>
      <c r="C5" t="str">
        <f>IF(A5&lt;&gt;"",'04B Silver Field Treatment'!C6,"")</f>
        <v>Licensing License Silver</v>
      </c>
      <c r="D5" t="e">
        <f>IF(A5&lt;&gt;"",'04B Silver Field Treatment'!#REF!,"")</f>
        <v>#REF!</v>
      </c>
      <c r="E5" t="str">
        <f>IF(A5&lt;&gt;"",'04B Silver Field Treatment'!D6,"")</f>
        <v>license_status</v>
      </c>
      <c r="F5" t="str">
        <f>IF(A5&lt;&gt;"",'04B Silver Field Treatment'!F6,"")</f>
        <v>Current status recorded by licensing program</v>
      </c>
      <c r="G5" t="str">
        <f>IF(A5&lt;&gt;"",'04B Silver Field Treatment'!K6,"")</f>
        <v>license_status_code</v>
      </c>
      <c r="H5" t="str">
        <f>IF(A5&lt;&gt;"",'04B Silver Field Treatment'!L6,"")</f>
        <v>Normalized current license status</v>
      </c>
      <c r="I5" t="str">
        <f>IF(A5&lt;&gt;"",'04B Silver Field Treatment'!M6,"")</f>
        <v>Yes</v>
      </c>
      <c r="J5" t="str">
        <f>IF(A5&lt;&gt;"",'04B Silver Field Treatment'!N6,"")</f>
        <v>Map</v>
      </c>
      <c r="K5" t="str">
        <f>IF(A5&lt;&gt;"",'04B Silver Field Treatment'!O6,"")</f>
        <v>Map source statuses to enterprise licensing status list</v>
      </c>
      <c r="L5" t="str">
        <f>IF(A5&lt;&gt;"",'04B Silver Field Treatment'!P6,"")</f>
        <v>In Progress</v>
      </c>
      <c r="M5" t="str">
        <f>IF(A5&lt;&gt;"",'04B Silver Field Treatment'!Q6,"")</f>
        <v>Licensing steward</v>
      </c>
      <c r="N5" t="str">
        <f>IF(A5&lt;&gt;"",'04B Silver Field Treatment'!R6,"")</f>
        <v>Need decision on how to handle pending-renewal versus active.</v>
      </c>
      <c r="O5" t="str">
        <f>IF(A5&lt;&gt;"",'04B Silver Field Treatment'!S6,"")</f>
        <v>Internal</v>
      </c>
      <c r="P5" t="str">
        <f>IF(A5&lt;&gt;"",'04B Silver Field Treatment'!V6,"")</f>
        <v>DQ-004</v>
      </c>
      <c r="Q5" t="str">
        <f>IF(A5&lt;&gt;"",'04B Silver Field Treatment'!W6,"")</f>
        <v>Licensing source authoritative unless superseded by adjudication feed</v>
      </c>
    </row>
    <row r="6" spans="1:17" x14ac:dyDescent="0.25">
      <c r="A6" t="str">
        <v>Enterprise Licensing System</v>
      </c>
      <c r="B6" t="str">
        <f>IF(A6&lt;&gt;"",'04B Silver Field Treatment'!B7,"")</f>
        <v>brz_finance_payments_weekly</v>
      </c>
      <c r="C6" t="str">
        <f>IF(A6&lt;&gt;"",'04B Silver Field Treatment'!C7,"")</f>
        <v>Grant Payment Silver</v>
      </c>
      <c r="D6" t="e">
        <f>IF(A6&lt;&gt;"",'04B Silver Field Treatment'!#REF!,"")</f>
        <v>#REF!</v>
      </c>
      <c r="E6" t="str">
        <f>IF(A6&lt;&gt;"",'04B Silver Field Treatment'!D7,"")</f>
        <v>amount</v>
      </c>
      <c r="F6" t="str">
        <f>IF(A6&lt;&gt;"",'04B Silver Field Treatment'!F7,"")</f>
        <v>Dollar amount of payment transaction</v>
      </c>
      <c r="G6" t="str">
        <f>IF(A6&lt;&gt;"",'04B Silver Field Treatment'!K7,"")</f>
        <v>payment_amount</v>
      </c>
      <c r="H6" t="str">
        <f>IF(A6&lt;&gt;"",'04B Silver Field Treatment'!L7,"")</f>
        <v>Payment amount in USD</v>
      </c>
      <c r="I6" t="str">
        <f>IF(A6&lt;&gt;"",'04B Silver Field Treatment'!M7,"")</f>
        <v>Yes</v>
      </c>
      <c r="J6" t="str">
        <f>IF(A6&lt;&gt;"",'04B Silver Field Treatment'!N7,"")</f>
        <v>Validate</v>
      </c>
      <c r="K6" t="str">
        <f>IF(A6&lt;&gt;"",'04B Silver Field Treatment'!O7,"")</f>
        <v>Preserve numeric value and validate non-negative unless reversal indicator present</v>
      </c>
      <c r="L6" t="str">
        <f>IF(A6&lt;&gt;"",'04B Silver Field Treatment'!P7,"")</f>
        <v>Draft</v>
      </c>
      <c r="M6" t="str">
        <f>IF(A6&lt;&gt;"",'04B Silver Field Treatment'!Q7,"")</f>
        <v>Finance steward</v>
      </c>
      <c r="N6" t="str">
        <f>IF(A6&lt;&gt;"",'04B Silver Field Treatment'!R7,"")</f>
        <v>Need rule for zero-dollar adjustment rows.</v>
      </c>
      <c r="O6" t="str">
        <f>IF(A6&lt;&gt;"",'04B Silver Field Treatment'!S7,"")</f>
        <v>Confidential</v>
      </c>
      <c r="P6" t="str">
        <f>IF(A6&lt;&gt;"",'04B Silver Field Treatment'!V7,"")</f>
        <v>DQ-007</v>
      </c>
      <c r="Q6" t="str">
        <f>IF(A6&lt;&gt;"",'04B Silver Field Treatment'!W7,"")</f>
        <v>Finance file authoritative for disbursement amount</v>
      </c>
    </row>
    <row r="7" spans="1:17" x14ac:dyDescent="0.25">
      <c r="A7" t="str">
        <f>IF('04B Silver Field Treatment'!A8&lt;&gt;"",'04B Silver Field Treatment'!A8,"")</f>
        <v/>
      </c>
      <c r="B7" t="str">
        <f>IF(A7&lt;&gt;"",'04B Silver Field Treatment'!B8,"")</f>
        <v/>
      </c>
      <c r="C7" t="str">
        <f>IF(A7&lt;&gt;"",'04B Silver Field Treatment'!C8,"")</f>
        <v/>
      </c>
      <c r="D7" t="str">
        <f>IF(A7&lt;&gt;"",'04B Silver Field Treatment'!#REF!,"")</f>
        <v/>
      </c>
      <c r="E7" t="str">
        <f>IF(A7&lt;&gt;"",'04B Silver Field Treatment'!D8,"")</f>
        <v/>
      </c>
      <c r="F7" t="str">
        <f>IF(A7&lt;&gt;"",'04B Silver Field Treatment'!F8,"")</f>
        <v/>
      </c>
      <c r="G7" t="str">
        <f>IF(A7&lt;&gt;"",'04B Silver Field Treatment'!K8,"")</f>
        <v/>
      </c>
      <c r="H7" t="str">
        <f>IF(A7&lt;&gt;"",'04B Silver Field Treatment'!L8,"")</f>
        <v/>
      </c>
      <c r="I7" t="str">
        <f>IF(A7&lt;&gt;"",'04B Silver Field Treatment'!M8,"")</f>
        <v/>
      </c>
      <c r="J7" t="str">
        <f>IF(A7&lt;&gt;"",'04B Silver Field Treatment'!N8,"")</f>
        <v/>
      </c>
      <c r="K7" t="str">
        <f>IF(A7&lt;&gt;"",'04B Silver Field Treatment'!O8,"")</f>
        <v/>
      </c>
      <c r="L7" t="str">
        <f>IF(A7&lt;&gt;"",'04B Silver Field Treatment'!P8,"")</f>
        <v/>
      </c>
      <c r="M7" t="str">
        <f>IF(A7&lt;&gt;"",'04B Silver Field Treatment'!Q8,"")</f>
        <v/>
      </c>
      <c r="N7" t="str">
        <f>IF(A7&lt;&gt;"",'04B Silver Field Treatment'!R8,"")</f>
        <v/>
      </c>
      <c r="O7" t="str">
        <f>IF(A7&lt;&gt;"",'04B Silver Field Treatment'!S8,"")</f>
        <v/>
      </c>
      <c r="P7" t="str">
        <f>IF(A7&lt;&gt;"",'04B Silver Field Treatment'!V8,"")</f>
        <v/>
      </c>
      <c r="Q7" t="str">
        <f>IF(A7&lt;&gt;"",'04B Silver Field Treatment'!W8,"")</f>
        <v/>
      </c>
    </row>
    <row r="8" spans="1:17" x14ac:dyDescent="0.25">
      <c r="A8" t="str">
        <f>IF('04B Silver Field Treatment'!A9&lt;&gt;"",'04B Silver Field Treatment'!A9,"")</f>
        <v/>
      </c>
      <c r="B8" t="str">
        <f>IF(A8&lt;&gt;"",'04B Silver Field Treatment'!B9,"")</f>
        <v/>
      </c>
      <c r="C8" t="str">
        <f>IF(A8&lt;&gt;"",'04B Silver Field Treatment'!C9,"")</f>
        <v/>
      </c>
      <c r="D8" t="str">
        <f>IF(A8&lt;&gt;"",'04B Silver Field Treatment'!#REF!,"")</f>
        <v/>
      </c>
      <c r="E8" t="str">
        <f>IF(A8&lt;&gt;"",'04B Silver Field Treatment'!D9,"")</f>
        <v/>
      </c>
      <c r="F8" t="str">
        <f>IF(A8&lt;&gt;"",'04B Silver Field Treatment'!F9,"")</f>
        <v/>
      </c>
      <c r="G8" t="str">
        <f>IF(A8&lt;&gt;"",'04B Silver Field Treatment'!K9,"")</f>
        <v/>
      </c>
      <c r="H8" t="str">
        <f>IF(A8&lt;&gt;"",'04B Silver Field Treatment'!L9,"")</f>
        <v/>
      </c>
      <c r="I8" t="str">
        <f>IF(A8&lt;&gt;"",'04B Silver Field Treatment'!M9,"")</f>
        <v/>
      </c>
      <c r="J8" t="str">
        <f>IF(A8&lt;&gt;"",'04B Silver Field Treatment'!N9,"")</f>
        <v/>
      </c>
      <c r="K8" t="str">
        <f>IF(A8&lt;&gt;"",'04B Silver Field Treatment'!O9,"")</f>
        <v/>
      </c>
      <c r="L8" t="str">
        <f>IF(A8&lt;&gt;"",'04B Silver Field Treatment'!P9,"")</f>
        <v/>
      </c>
      <c r="M8" t="str">
        <f>IF(A8&lt;&gt;"",'04B Silver Field Treatment'!Q9,"")</f>
        <v/>
      </c>
      <c r="N8" t="str">
        <f>IF(A8&lt;&gt;"",'04B Silver Field Treatment'!R9,"")</f>
        <v/>
      </c>
      <c r="O8" t="str">
        <f>IF(A8&lt;&gt;"",'04B Silver Field Treatment'!S9,"")</f>
        <v/>
      </c>
      <c r="P8" t="str">
        <f>IF(A8&lt;&gt;"",'04B Silver Field Treatment'!V9,"")</f>
        <v/>
      </c>
      <c r="Q8" t="str">
        <f>IF(A8&lt;&gt;"",'04B Silver Field Treatment'!W9,"")</f>
        <v/>
      </c>
    </row>
    <row r="9" spans="1:17" x14ac:dyDescent="0.25">
      <c r="A9" t="str">
        <f>IF('04B Silver Field Treatment'!A10&lt;&gt;"",'04B Silver Field Treatment'!A10,"")</f>
        <v/>
      </c>
      <c r="B9" t="str">
        <f>IF(A9&lt;&gt;"",'04B Silver Field Treatment'!B10,"")</f>
        <v/>
      </c>
      <c r="C9" t="str">
        <f>IF(A9&lt;&gt;"",'04B Silver Field Treatment'!C10,"")</f>
        <v/>
      </c>
      <c r="D9" t="str">
        <f>IF(A9&lt;&gt;"",'04B Silver Field Treatment'!#REF!,"")</f>
        <v/>
      </c>
      <c r="E9" t="str">
        <f>IF(A9&lt;&gt;"",'04B Silver Field Treatment'!D10,"")</f>
        <v/>
      </c>
      <c r="F9" t="str">
        <f>IF(A9&lt;&gt;"",'04B Silver Field Treatment'!F10,"")</f>
        <v/>
      </c>
      <c r="G9" t="str">
        <f>IF(A9&lt;&gt;"",'04B Silver Field Treatment'!K10,"")</f>
        <v/>
      </c>
      <c r="H9" t="str">
        <f>IF(A9&lt;&gt;"",'04B Silver Field Treatment'!L10,"")</f>
        <v/>
      </c>
      <c r="I9" t="str">
        <f>IF(A9&lt;&gt;"",'04B Silver Field Treatment'!M10,"")</f>
        <v/>
      </c>
      <c r="J9" t="str">
        <f>IF(A9&lt;&gt;"",'04B Silver Field Treatment'!N10,"")</f>
        <v/>
      </c>
      <c r="K9" t="str">
        <f>IF(A9&lt;&gt;"",'04B Silver Field Treatment'!O10,"")</f>
        <v/>
      </c>
      <c r="L9" t="str">
        <f>IF(A9&lt;&gt;"",'04B Silver Field Treatment'!P10,"")</f>
        <v/>
      </c>
      <c r="M9" t="str">
        <f>IF(A9&lt;&gt;"",'04B Silver Field Treatment'!Q10,"")</f>
        <v/>
      </c>
      <c r="N9" t="str">
        <f>IF(A9&lt;&gt;"",'04B Silver Field Treatment'!R10,"")</f>
        <v/>
      </c>
      <c r="O9" t="str">
        <f>IF(A9&lt;&gt;"",'04B Silver Field Treatment'!S10,"")</f>
        <v/>
      </c>
      <c r="P9" t="str">
        <f>IF(A9&lt;&gt;"",'04B Silver Field Treatment'!V10,"")</f>
        <v/>
      </c>
      <c r="Q9" t="str">
        <f>IF(A9&lt;&gt;"",'04B Silver Field Treatment'!W10,"")</f>
        <v/>
      </c>
    </row>
    <row r="10" spans="1:17" x14ac:dyDescent="0.25">
      <c r="A10" t="str">
        <f>IF('04B Silver Field Treatment'!A11&lt;&gt;"",'04B Silver Field Treatment'!A11,"")</f>
        <v/>
      </c>
      <c r="B10" t="str">
        <f>IF(A10&lt;&gt;"",'04B Silver Field Treatment'!B11,"")</f>
        <v/>
      </c>
      <c r="C10" t="str">
        <f>IF(A10&lt;&gt;"",'04B Silver Field Treatment'!C11,"")</f>
        <v/>
      </c>
      <c r="D10" t="str">
        <f>IF(A10&lt;&gt;"",'04B Silver Field Treatment'!#REF!,"")</f>
        <v/>
      </c>
      <c r="E10" t="str">
        <f>IF(A10&lt;&gt;"",'04B Silver Field Treatment'!D11,"")</f>
        <v/>
      </c>
      <c r="F10" t="str">
        <f>IF(A10&lt;&gt;"",'04B Silver Field Treatment'!F11,"")</f>
        <v/>
      </c>
      <c r="G10" t="str">
        <f>IF(A10&lt;&gt;"",'04B Silver Field Treatment'!K11,"")</f>
        <v/>
      </c>
      <c r="H10" t="str">
        <f>IF(A10&lt;&gt;"",'04B Silver Field Treatment'!L11,"")</f>
        <v/>
      </c>
      <c r="I10" t="str">
        <f>IF(A10&lt;&gt;"",'04B Silver Field Treatment'!M11,"")</f>
        <v/>
      </c>
      <c r="J10" t="str">
        <f>IF(A10&lt;&gt;"",'04B Silver Field Treatment'!N11,"")</f>
        <v/>
      </c>
      <c r="K10" t="str">
        <f>IF(A10&lt;&gt;"",'04B Silver Field Treatment'!O11,"")</f>
        <v/>
      </c>
      <c r="L10" t="str">
        <f>IF(A10&lt;&gt;"",'04B Silver Field Treatment'!P11,"")</f>
        <v/>
      </c>
      <c r="M10" t="str">
        <f>IF(A10&lt;&gt;"",'04B Silver Field Treatment'!Q11,"")</f>
        <v/>
      </c>
      <c r="N10" t="str">
        <f>IF(A10&lt;&gt;"",'04B Silver Field Treatment'!R11,"")</f>
        <v/>
      </c>
      <c r="O10" t="str">
        <f>IF(A10&lt;&gt;"",'04B Silver Field Treatment'!S11,"")</f>
        <v/>
      </c>
      <c r="P10" t="str">
        <f>IF(A10&lt;&gt;"",'04B Silver Field Treatment'!V11,"")</f>
        <v/>
      </c>
      <c r="Q10" t="str">
        <f>IF(A10&lt;&gt;"",'04B Silver Field Treatment'!W11,"")</f>
        <v/>
      </c>
    </row>
    <row r="11" spans="1:17" x14ac:dyDescent="0.25">
      <c r="A11" t="str">
        <f>IF('04B Silver Field Treatment'!A12&lt;&gt;"",'04B Silver Field Treatment'!A12,"")</f>
        <v/>
      </c>
      <c r="B11" t="str">
        <f>IF(A11&lt;&gt;"",'04B Silver Field Treatment'!B12,"")</f>
        <v/>
      </c>
      <c r="C11" t="str">
        <f>IF(A11&lt;&gt;"",'04B Silver Field Treatment'!C12,"")</f>
        <v/>
      </c>
      <c r="D11" t="str">
        <f>IF(A11&lt;&gt;"",'04B Silver Field Treatment'!#REF!,"")</f>
        <v/>
      </c>
      <c r="E11" t="str">
        <f>IF(A11&lt;&gt;"",'04B Silver Field Treatment'!D12,"")</f>
        <v/>
      </c>
      <c r="F11" t="str">
        <f>IF(A11&lt;&gt;"",'04B Silver Field Treatment'!F12,"")</f>
        <v/>
      </c>
      <c r="G11" t="str">
        <f>IF(A11&lt;&gt;"",'04B Silver Field Treatment'!K12,"")</f>
        <v/>
      </c>
      <c r="H11" t="str">
        <f>IF(A11&lt;&gt;"",'04B Silver Field Treatment'!L12,"")</f>
        <v/>
      </c>
      <c r="I11" t="str">
        <f>IF(A11&lt;&gt;"",'04B Silver Field Treatment'!M12,"")</f>
        <v/>
      </c>
      <c r="J11" t="str">
        <f>IF(A11&lt;&gt;"",'04B Silver Field Treatment'!N12,"")</f>
        <v/>
      </c>
      <c r="K11" t="str">
        <f>IF(A11&lt;&gt;"",'04B Silver Field Treatment'!O12,"")</f>
        <v/>
      </c>
      <c r="L11" t="str">
        <f>IF(A11&lt;&gt;"",'04B Silver Field Treatment'!P12,"")</f>
        <v/>
      </c>
      <c r="M11" t="str">
        <f>IF(A11&lt;&gt;"",'04B Silver Field Treatment'!Q12,"")</f>
        <v/>
      </c>
      <c r="N11" t="str">
        <f>IF(A11&lt;&gt;"",'04B Silver Field Treatment'!R12,"")</f>
        <v/>
      </c>
      <c r="O11" t="str">
        <f>IF(A11&lt;&gt;"",'04B Silver Field Treatment'!S12,"")</f>
        <v/>
      </c>
      <c r="P11" t="str">
        <f>IF(A11&lt;&gt;"",'04B Silver Field Treatment'!V12,"")</f>
        <v/>
      </c>
      <c r="Q11" t="str">
        <f>IF(A11&lt;&gt;"",'04B Silver Field Treatment'!W12,"")</f>
        <v/>
      </c>
    </row>
    <row r="12" spans="1:17" x14ac:dyDescent="0.25">
      <c r="A12" t="str">
        <f>IF('04B Silver Field Treatment'!A13&lt;&gt;"",'04B Silver Field Treatment'!A13,"")</f>
        <v/>
      </c>
      <c r="B12" t="str">
        <f>IF(A12&lt;&gt;"",'04B Silver Field Treatment'!B13,"")</f>
        <v/>
      </c>
      <c r="C12" t="str">
        <f>IF(A12&lt;&gt;"",'04B Silver Field Treatment'!C13,"")</f>
        <v/>
      </c>
      <c r="D12" t="str">
        <f>IF(A12&lt;&gt;"",'04B Silver Field Treatment'!#REF!,"")</f>
        <v/>
      </c>
      <c r="E12" t="str">
        <f>IF(A12&lt;&gt;"",'04B Silver Field Treatment'!D13,"")</f>
        <v/>
      </c>
      <c r="F12" t="str">
        <f>IF(A12&lt;&gt;"",'04B Silver Field Treatment'!F13,"")</f>
        <v/>
      </c>
      <c r="G12" t="str">
        <f>IF(A12&lt;&gt;"",'04B Silver Field Treatment'!K13,"")</f>
        <v/>
      </c>
      <c r="H12" t="str">
        <f>IF(A12&lt;&gt;"",'04B Silver Field Treatment'!L13,"")</f>
        <v/>
      </c>
      <c r="I12" t="str">
        <f>IF(A12&lt;&gt;"",'04B Silver Field Treatment'!M13,"")</f>
        <v/>
      </c>
      <c r="J12" t="str">
        <f>IF(A12&lt;&gt;"",'04B Silver Field Treatment'!N13,"")</f>
        <v/>
      </c>
      <c r="K12" t="str">
        <f>IF(A12&lt;&gt;"",'04B Silver Field Treatment'!O13,"")</f>
        <v/>
      </c>
      <c r="L12" t="str">
        <f>IF(A12&lt;&gt;"",'04B Silver Field Treatment'!P13,"")</f>
        <v/>
      </c>
      <c r="M12" t="str">
        <f>IF(A12&lt;&gt;"",'04B Silver Field Treatment'!Q13,"")</f>
        <v/>
      </c>
      <c r="N12" t="str">
        <f>IF(A12&lt;&gt;"",'04B Silver Field Treatment'!R13,"")</f>
        <v/>
      </c>
      <c r="O12" t="str">
        <f>IF(A12&lt;&gt;"",'04B Silver Field Treatment'!S13,"")</f>
        <v/>
      </c>
      <c r="P12" t="str">
        <f>IF(A12&lt;&gt;"",'04B Silver Field Treatment'!V13,"")</f>
        <v/>
      </c>
      <c r="Q12" t="str">
        <f>IF(A12&lt;&gt;"",'04B Silver Field Treatment'!W13,"")</f>
        <v/>
      </c>
    </row>
    <row r="13" spans="1:17" x14ac:dyDescent="0.25">
      <c r="A13" t="str">
        <f>IF('04B Silver Field Treatment'!A14&lt;&gt;"",'04B Silver Field Treatment'!A14,"")</f>
        <v/>
      </c>
      <c r="B13" t="str">
        <f>IF(A13&lt;&gt;"",'04B Silver Field Treatment'!B14,"")</f>
        <v/>
      </c>
      <c r="C13" t="str">
        <f>IF(A13&lt;&gt;"",'04B Silver Field Treatment'!C14,"")</f>
        <v/>
      </c>
      <c r="D13" t="str">
        <f>IF(A13&lt;&gt;"",'04B Silver Field Treatment'!#REF!,"")</f>
        <v/>
      </c>
      <c r="E13" t="str">
        <f>IF(A13&lt;&gt;"",'04B Silver Field Treatment'!D14,"")</f>
        <v/>
      </c>
      <c r="F13" t="str">
        <f>IF(A13&lt;&gt;"",'04B Silver Field Treatment'!F14,"")</f>
        <v/>
      </c>
      <c r="G13" t="str">
        <f>IF(A13&lt;&gt;"",'04B Silver Field Treatment'!K14,"")</f>
        <v/>
      </c>
      <c r="H13" t="str">
        <f>IF(A13&lt;&gt;"",'04B Silver Field Treatment'!L14,"")</f>
        <v/>
      </c>
      <c r="I13" t="str">
        <f>IF(A13&lt;&gt;"",'04B Silver Field Treatment'!M14,"")</f>
        <v/>
      </c>
      <c r="J13" t="str">
        <f>IF(A13&lt;&gt;"",'04B Silver Field Treatment'!N14,"")</f>
        <v/>
      </c>
      <c r="K13" t="str">
        <f>IF(A13&lt;&gt;"",'04B Silver Field Treatment'!O14,"")</f>
        <v/>
      </c>
      <c r="L13" t="str">
        <f>IF(A13&lt;&gt;"",'04B Silver Field Treatment'!P14,"")</f>
        <v/>
      </c>
      <c r="M13" t="str">
        <f>IF(A13&lt;&gt;"",'04B Silver Field Treatment'!Q14,"")</f>
        <v/>
      </c>
      <c r="N13" t="str">
        <f>IF(A13&lt;&gt;"",'04B Silver Field Treatment'!R14,"")</f>
        <v/>
      </c>
      <c r="O13" t="str">
        <f>IF(A13&lt;&gt;"",'04B Silver Field Treatment'!S14,"")</f>
        <v/>
      </c>
      <c r="P13" t="str">
        <f>IF(A13&lt;&gt;"",'04B Silver Field Treatment'!V14,"")</f>
        <v/>
      </c>
      <c r="Q13" t="str">
        <f>IF(A13&lt;&gt;"",'04B Silver Field Treatment'!W14,"")</f>
        <v/>
      </c>
    </row>
    <row r="14" spans="1:17" x14ac:dyDescent="0.25">
      <c r="A14" t="str">
        <f>IF('04B Silver Field Treatment'!A15&lt;&gt;"",'04B Silver Field Treatment'!A15,"")</f>
        <v/>
      </c>
      <c r="B14" t="str">
        <f>IF(A14&lt;&gt;"",'04B Silver Field Treatment'!B15,"")</f>
        <v/>
      </c>
      <c r="C14" t="str">
        <f>IF(A14&lt;&gt;"",'04B Silver Field Treatment'!C15,"")</f>
        <v/>
      </c>
      <c r="D14" t="str">
        <f>IF(A14&lt;&gt;"",'04B Silver Field Treatment'!#REF!,"")</f>
        <v/>
      </c>
      <c r="E14" t="str">
        <f>IF(A14&lt;&gt;"",'04B Silver Field Treatment'!D15,"")</f>
        <v/>
      </c>
      <c r="F14" t="str">
        <f>IF(A14&lt;&gt;"",'04B Silver Field Treatment'!F15,"")</f>
        <v/>
      </c>
      <c r="G14" t="str">
        <f>IF(A14&lt;&gt;"",'04B Silver Field Treatment'!K15,"")</f>
        <v/>
      </c>
      <c r="H14" t="str">
        <f>IF(A14&lt;&gt;"",'04B Silver Field Treatment'!L15,"")</f>
        <v/>
      </c>
      <c r="I14" t="str">
        <f>IF(A14&lt;&gt;"",'04B Silver Field Treatment'!M15,"")</f>
        <v/>
      </c>
      <c r="J14" t="str">
        <f>IF(A14&lt;&gt;"",'04B Silver Field Treatment'!N15,"")</f>
        <v/>
      </c>
      <c r="K14" t="str">
        <f>IF(A14&lt;&gt;"",'04B Silver Field Treatment'!O15,"")</f>
        <v/>
      </c>
      <c r="L14" t="str">
        <f>IF(A14&lt;&gt;"",'04B Silver Field Treatment'!P15,"")</f>
        <v/>
      </c>
      <c r="M14" t="str">
        <f>IF(A14&lt;&gt;"",'04B Silver Field Treatment'!Q15,"")</f>
        <v/>
      </c>
      <c r="N14" t="str">
        <f>IF(A14&lt;&gt;"",'04B Silver Field Treatment'!R15,"")</f>
        <v/>
      </c>
      <c r="O14" t="str">
        <f>IF(A14&lt;&gt;"",'04B Silver Field Treatment'!S15,"")</f>
        <v/>
      </c>
      <c r="P14" t="str">
        <f>IF(A14&lt;&gt;"",'04B Silver Field Treatment'!V15,"")</f>
        <v/>
      </c>
      <c r="Q14" t="str">
        <f>IF(A14&lt;&gt;"",'04B Silver Field Treatment'!W15,"")</f>
        <v/>
      </c>
    </row>
    <row r="15" spans="1:17" x14ac:dyDescent="0.25">
      <c r="A15" t="str">
        <f>IF('04B Silver Field Treatment'!A16&lt;&gt;"",'04B Silver Field Treatment'!A16,"")</f>
        <v/>
      </c>
      <c r="B15" t="str">
        <f>IF(A15&lt;&gt;"",'04B Silver Field Treatment'!B16,"")</f>
        <v/>
      </c>
      <c r="C15" t="str">
        <f>IF(A15&lt;&gt;"",'04B Silver Field Treatment'!C16,"")</f>
        <v/>
      </c>
      <c r="D15" t="str">
        <f>IF(A15&lt;&gt;"",'04B Silver Field Treatment'!#REF!,"")</f>
        <v/>
      </c>
      <c r="E15" t="str">
        <f>IF(A15&lt;&gt;"",'04B Silver Field Treatment'!D16,"")</f>
        <v/>
      </c>
      <c r="F15" t="str">
        <f>IF(A15&lt;&gt;"",'04B Silver Field Treatment'!F16,"")</f>
        <v/>
      </c>
      <c r="G15" t="str">
        <f>IF(A15&lt;&gt;"",'04B Silver Field Treatment'!K16,"")</f>
        <v/>
      </c>
      <c r="H15" t="str">
        <f>IF(A15&lt;&gt;"",'04B Silver Field Treatment'!L16,"")</f>
        <v/>
      </c>
      <c r="I15" t="str">
        <f>IF(A15&lt;&gt;"",'04B Silver Field Treatment'!M16,"")</f>
        <v/>
      </c>
      <c r="J15" t="str">
        <f>IF(A15&lt;&gt;"",'04B Silver Field Treatment'!N16,"")</f>
        <v/>
      </c>
      <c r="K15" t="str">
        <f>IF(A15&lt;&gt;"",'04B Silver Field Treatment'!O16,"")</f>
        <v/>
      </c>
      <c r="L15" t="str">
        <f>IF(A15&lt;&gt;"",'04B Silver Field Treatment'!P16,"")</f>
        <v/>
      </c>
      <c r="M15" t="str">
        <f>IF(A15&lt;&gt;"",'04B Silver Field Treatment'!Q16,"")</f>
        <v/>
      </c>
      <c r="N15" t="str">
        <f>IF(A15&lt;&gt;"",'04B Silver Field Treatment'!R16,"")</f>
        <v/>
      </c>
      <c r="O15" t="str">
        <f>IF(A15&lt;&gt;"",'04B Silver Field Treatment'!S16,"")</f>
        <v/>
      </c>
      <c r="P15" t="str">
        <f>IF(A15&lt;&gt;"",'04B Silver Field Treatment'!V16,"")</f>
        <v/>
      </c>
      <c r="Q15" t="str">
        <f>IF(A15&lt;&gt;"",'04B Silver Field Treatment'!W16,"")</f>
        <v/>
      </c>
    </row>
    <row r="16" spans="1:17" x14ac:dyDescent="0.25">
      <c r="A16" t="str">
        <f>IF('04B Silver Field Treatment'!A17&lt;&gt;"",'04B Silver Field Treatment'!A17,"")</f>
        <v/>
      </c>
      <c r="B16" t="str">
        <f>IF(A16&lt;&gt;"",'04B Silver Field Treatment'!B17,"")</f>
        <v/>
      </c>
      <c r="C16" t="str">
        <f>IF(A16&lt;&gt;"",'04B Silver Field Treatment'!C17,"")</f>
        <v/>
      </c>
      <c r="D16" t="str">
        <f>IF(A16&lt;&gt;"",'04B Silver Field Treatment'!#REF!,"")</f>
        <v/>
      </c>
      <c r="E16" t="str">
        <f>IF(A16&lt;&gt;"",'04B Silver Field Treatment'!D17,"")</f>
        <v/>
      </c>
      <c r="F16" t="str">
        <f>IF(A16&lt;&gt;"",'04B Silver Field Treatment'!F17,"")</f>
        <v/>
      </c>
      <c r="G16" t="str">
        <f>IF(A16&lt;&gt;"",'04B Silver Field Treatment'!K17,"")</f>
        <v/>
      </c>
      <c r="H16" t="str">
        <f>IF(A16&lt;&gt;"",'04B Silver Field Treatment'!L17,"")</f>
        <v/>
      </c>
      <c r="I16" t="str">
        <f>IF(A16&lt;&gt;"",'04B Silver Field Treatment'!M17,"")</f>
        <v/>
      </c>
      <c r="J16" t="str">
        <f>IF(A16&lt;&gt;"",'04B Silver Field Treatment'!N17,"")</f>
        <v/>
      </c>
      <c r="K16" t="str">
        <f>IF(A16&lt;&gt;"",'04B Silver Field Treatment'!O17,"")</f>
        <v/>
      </c>
      <c r="L16" t="str">
        <f>IF(A16&lt;&gt;"",'04B Silver Field Treatment'!P17,"")</f>
        <v/>
      </c>
      <c r="M16" t="str">
        <f>IF(A16&lt;&gt;"",'04B Silver Field Treatment'!Q17,"")</f>
        <v/>
      </c>
      <c r="N16" t="str">
        <f>IF(A16&lt;&gt;"",'04B Silver Field Treatment'!R17,"")</f>
        <v/>
      </c>
      <c r="O16" t="str">
        <f>IF(A16&lt;&gt;"",'04B Silver Field Treatment'!S17,"")</f>
        <v/>
      </c>
      <c r="P16" t="str">
        <f>IF(A16&lt;&gt;"",'04B Silver Field Treatment'!V17,"")</f>
        <v/>
      </c>
      <c r="Q16" t="str">
        <f>IF(A16&lt;&gt;"",'04B Silver Field Treatment'!W17,"")</f>
        <v/>
      </c>
    </row>
    <row r="17" spans="1:17" x14ac:dyDescent="0.25">
      <c r="A17" t="str">
        <f>IF('04B Silver Field Treatment'!A18&lt;&gt;"",'04B Silver Field Treatment'!A18,"")</f>
        <v/>
      </c>
      <c r="B17" t="str">
        <f>IF(A17&lt;&gt;"",'04B Silver Field Treatment'!B18,"")</f>
        <v/>
      </c>
      <c r="C17" t="str">
        <f>IF(A17&lt;&gt;"",'04B Silver Field Treatment'!C18,"")</f>
        <v/>
      </c>
      <c r="D17" t="str">
        <f>IF(A17&lt;&gt;"",'04B Silver Field Treatment'!#REF!,"")</f>
        <v/>
      </c>
      <c r="E17" t="str">
        <f>IF(A17&lt;&gt;"",'04B Silver Field Treatment'!D18,"")</f>
        <v/>
      </c>
      <c r="F17" t="str">
        <f>IF(A17&lt;&gt;"",'04B Silver Field Treatment'!F18,"")</f>
        <v/>
      </c>
      <c r="G17" t="str">
        <f>IF(A17&lt;&gt;"",'04B Silver Field Treatment'!K18,"")</f>
        <v/>
      </c>
      <c r="H17" t="str">
        <f>IF(A17&lt;&gt;"",'04B Silver Field Treatment'!L18,"")</f>
        <v/>
      </c>
      <c r="I17" t="str">
        <f>IF(A17&lt;&gt;"",'04B Silver Field Treatment'!M18,"")</f>
        <v/>
      </c>
      <c r="J17" t="str">
        <f>IF(A17&lt;&gt;"",'04B Silver Field Treatment'!N18,"")</f>
        <v/>
      </c>
      <c r="K17" t="str">
        <f>IF(A17&lt;&gt;"",'04B Silver Field Treatment'!O18,"")</f>
        <v/>
      </c>
      <c r="L17" t="str">
        <f>IF(A17&lt;&gt;"",'04B Silver Field Treatment'!P18,"")</f>
        <v/>
      </c>
      <c r="M17" t="str">
        <f>IF(A17&lt;&gt;"",'04B Silver Field Treatment'!Q18,"")</f>
        <v/>
      </c>
      <c r="N17" t="str">
        <f>IF(A17&lt;&gt;"",'04B Silver Field Treatment'!R18,"")</f>
        <v/>
      </c>
      <c r="O17" t="str">
        <f>IF(A17&lt;&gt;"",'04B Silver Field Treatment'!S18,"")</f>
        <v/>
      </c>
      <c r="P17" t="str">
        <f>IF(A17&lt;&gt;"",'04B Silver Field Treatment'!V18,"")</f>
        <v/>
      </c>
      <c r="Q17" t="str">
        <f>IF(A17&lt;&gt;"",'04B Silver Field Treatment'!W18,"")</f>
        <v/>
      </c>
    </row>
    <row r="18" spans="1:17" x14ac:dyDescent="0.25">
      <c r="A18" t="str">
        <f>IF('04B Silver Field Treatment'!A19&lt;&gt;"",'04B Silver Field Treatment'!A19,"")</f>
        <v/>
      </c>
      <c r="B18" t="str">
        <f>IF(A18&lt;&gt;"",'04B Silver Field Treatment'!B19,"")</f>
        <v/>
      </c>
      <c r="C18" t="str">
        <f>IF(A18&lt;&gt;"",'04B Silver Field Treatment'!C19,"")</f>
        <v/>
      </c>
      <c r="D18" t="str">
        <f>IF(A18&lt;&gt;"",'04B Silver Field Treatment'!#REF!,"")</f>
        <v/>
      </c>
      <c r="E18" t="str">
        <f>IF(A18&lt;&gt;"",'04B Silver Field Treatment'!D19,"")</f>
        <v/>
      </c>
      <c r="F18" t="str">
        <f>IF(A18&lt;&gt;"",'04B Silver Field Treatment'!F19,"")</f>
        <v/>
      </c>
      <c r="G18" t="str">
        <f>IF(A18&lt;&gt;"",'04B Silver Field Treatment'!K19,"")</f>
        <v/>
      </c>
      <c r="H18" t="str">
        <f>IF(A18&lt;&gt;"",'04B Silver Field Treatment'!L19,"")</f>
        <v/>
      </c>
      <c r="I18" t="str">
        <f>IF(A18&lt;&gt;"",'04B Silver Field Treatment'!M19,"")</f>
        <v/>
      </c>
      <c r="J18" t="str">
        <f>IF(A18&lt;&gt;"",'04B Silver Field Treatment'!N19,"")</f>
        <v/>
      </c>
      <c r="K18" t="str">
        <f>IF(A18&lt;&gt;"",'04B Silver Field Treatment'!O19,"")</f>
        <v/>
      </c>
      <c r="L18" t="str">
        <f>IF(A18&lt;&gt;"",'04B Silver Field Treatment'!P19,"")</f>
        <v/>
      </c>
      <c r="M18" t="str">
        <f>IF(A18&lt;&gt;"",'04B Silver Field Treatment'!Q19,"")</f>
        <v/>
      </c>
      <c r="N18" t="str">
        <f>IF(A18&lt;&gt;"",'04B Silver Field Treatment'!R19,"")</f>
        <v/>
      </c>
      <c r="O18" t="str">
        <f>IF(A18&lt;&gt;"",'04B Silver Field Treatment'!S19,"")</f>
        <v/>
      </c>
      <c r="P18" t="str">
        <f>IF(A18&lt;&gt;"",'04B Silver Field Treatment'!V19,"")</f>
        <v/>
      </c>
      <c r="Q18" t="str">
        <f>IF(A18&lt;&gt;"",'04B Silver Field Treatment'!W19,"")</f>
        <v/>
      </c>
    </row>
    <row r="19" spans="1:17" x14ac:dyDescent="0.25">
      <c r="A19" t="str">
        <f>IF('04B Silver Field Treatment'!A20&lt;&gt;"",'04B Silver Field Treatment'!A20,"")</f>
        <v/>
      </c>
      <c r="B19" t="str">
        <f>IF(A19&lt;&gt;"",'04B Silver Field Treatment'!B20,"")</f>
        <v/>
      </c>
      <c r="C19" t="str">
        <f>IF(A19&lt;&gt;"",'04B Silver Field Treatment'!C20,"")</f>
        <v/>
      </c>
      <c r="D19" t="str">
        <f>IF(A19&lt;&gt;"",'04B Silver Field Treatment'!#REF!,"")</f>
        <v/>
      </c>
      <c r="E19" t="str">
        <f>IF(A19&lt;&gt;"",'04B Silver Field Treatment'!D20,"")</f>
        <v/>
      </c>
      <c r="F19" t="str">
        <f>IF(A19&lt;&gt;"",'04B Silver Field Treatment'!F20,"")</f>
        <v/>
      </c>
      <c r="G19" t="str">
        <f>IF(A19&lt;&gt;"",'04B Silver Field Treatment'!K20,"")</f>
        <v/>
      </c>
      <c r="H19" t="str">
        <f>IF(A19&lt;&gt;"",'04B Silver Field Treatment'!L20,"")</f>
        <v/>
      </c>
      <c r="I19" t="str">
        <f>IF(A19&lt;&gt;"",'04B Silver Field Treatment'!M20,"")</f>
        <v/>
      </c>
      <c r="J19" t="str">
        <f>IF(A19&lt;&gt;"",'04B Silver Field Treatment'!N20,"")</f>
        <v/>
      </c>
      <c r="K19" t="str">
        <f>IF(A19&lt;&gt;"",'04B Silver Field Treatment'!O20,"")</f>
        <v/>
      </c>
      <c r="L19" t="str">
        <f>IF(A19&lt;&gt;"",'04B Silver Field Treatment'!P20,"")</f>
        <v/>
      </c>
      <c r="M19" t="str">
        <f>IF(A19&lt;&gt;"",'04B Silver Field Treatment'!Q20,"")</f>
        <v/>
      </c>
      <c r="N19" t="str">
        <f>IF(A19&lt;&gt;"",'04B Silver Field Treatment'!R20,"")</f>
        <v/>
      </c>
      <c r="O19" t="str">
        <f>IF(A19&lt;&gt;"",'04B Silver Field Treatment'!S20,"")</f>
        <v/>
      </c>
      <c r="P19" t="str">
        <f>IF(A19&lt;&gt;"",'04B Silver Field Treatment'!V20,"")</f>
        <v/>
      </c>
      <c r="Q19" t="str">
        <f>IF(A19&lt;&gt;"",'04B Silver Field Treatment'!W20,"")</f>
        <v/>
      </c>
    </row>
    <row r="20" spans="1:17" x14ac:dyDescent="0.25">
      <c r="A20" t="str">
        <f>IF('04B Silver Field Treatment'!A21&lt;&gt;"",'04B Silver Field Treatment'!A21,"")</f>
        <v/>
      </c>
      <c r="B20" t="str">
        <f>IF(A20&lt;&gt;"",'04B Silver Field Treatment'!B21,"")</f>
        <v/>
      </c>
      <c r="C20" t="str">
        <f>IF(A20&lt;&gt;"",'04B Silver Field Treatment'!C21,"")</f>
        <v/>
      </c>
      <c r="D20" t="str">
        <f>IF(A20&lt;&gt;"",'04B Silver Field Treatment'!#REF!,"")</f>
        <v/>
      </c>
      <c r="E20" t="str">
        <f>IF(A20&lt;&gt;"",'04B Silver Field Treatment'!D21,"")</f>
        <v/>
      </c>
      <c r="F20" t="str">
        <f>IF(A20&lt;&gt;"",'04B Silver Field Treatment'!F21,"")</f>
        <v/>
      </c>
      <c r="G20" t="str">
        <f>IF(A20&lt;&gt;"",'04B Silver Field Treatment'!K21,"")</f>
        <v/>
      </c>
      <c r="H20" t="str">
        <f>IF(A20&lt;&gt;"",'04B Silver Field Treatment'!L21,"")</f>
        <v/>
      </c>
      <c r="I20" t="str">
        <f>IF(A20&lt;&gt;"",'04B Silver Field Treatment'!M21,"")</f>
        <v/>
      </c>
      <c r="J20" t="str">
        <f>IF(A20&lt;&gt;"",'04B Silver Field Treatment'!N21,"")</f>
        <v/>
      </c>
      <c r="K20" t="str">
        <f>IF(A20&lt;&gt;"",'04B Silver Field Treatment'!O21,"")</f>
        <v/>
      </c>
      <c r="L20" t="str">
        <f>IF(A20&lt;&gt;"",'04B Silver Field Treatment'!P21,"")</f>
        <v/>
      </c>
      <c r="M20" t="str">
        <f>IF(A20&lt;&gt;"",'04B Silver Field Treatment'!Q21,"")</f>
        <v/>
      </c>
      <c r="N20" t="str">
        <f>IF(A20&lt;&gt;"",'04B Silver Field Treatment'!R21,"")</f>
        <v/>
      </c>
      <c r="O20" t="str">
        <f>IF(A20&lt;&gt;"",'04B Silver Field Treatment'!S21,"")</f>
        <v/>
      </c>
      <c r="P20" t="str">
        <f>IF(A20&lt;&gt;"",'04B Silver Field Treatment'!V21,"")</f>
        <v/>
      </c>
      <c r="Q20" t="str">
        <f>IF(A20&lt;&gt;"",'04B Silver Field Treatment'!W21,"")</f>
        <v/>
      </c>
    </row>
    <row r="21" spans="1:17" x14ac:dyDescent="0.25">
      <c r="A21" t="str">
        <f>IF('04B Silver Field Treatment'!A22&lt;&gt;"",'04B Silver Field Treatment'!A22,"")</f>
        <v/>
      </c>
      <c r="B21" t="str">
        <f>IF(A21&lt;&gt;"",'04B Silver Field Treatment'!B22,"")</f>
        <v/>
      </c>
      <c r="C21" t="str">
        <f>IF(A21&lt;&gt;"",'04B Silver Field Treatment'!C22,"")</f>
        <v/>
      </c>
      <c r="D21" t="str">
        <f>IF(A21&lt;&gt;"",'04B Silver Field Treatment'!#REF!,"")</f>
        <v/>
      </c>
      <c r="E21" t="str">
        <f>IF(A21&lt;&gt;"",'04B Silver Field Treatment'!D22,"")</f>
        <v/>
      </c>
      <c r="F21" t="str">
        <f>IF(A21&lt;&gt;"",'04B Silver Field Treatment'!F22,"")</f>
        <v/>
      </c>
      <c r="G21" t="str">
        <f>IF(A21&lt;&gt;"",'04B Silver Field Treatment'!K22,"")</f>
        <v/>
      </c>
      <c r="H21" t="str">
        <f>IF(A21&lt;&gt;"",'04B Silver Field Treatment'!L22,"")</f>
        <v/>
      </c>
      <c r="I21" t="str">
        <f>IF(A21&lt;&gt;"",'04B Silver Field Treatment'!M22,"")</f>
        <v/>
      </c>
      <c r="J21" t="str">
        <f>IF(A21&lt;&gt;"",'04B Silver Field Treatment'!N22,"")</f>
        <v/>
      </c>
      <c r="K21" t="str">
        <f>IF(A21&lt;&gt;"",'04B Silver Field Treatment'!O22,"")</f>
        <v/>
      </c>
      <c r="L21" t="str">
        <f>IF(A21&lt;&gt;"",'04B Silver Field Treatment'!P22,"")</f>
        <v/>
      </c>
      <c r="M21" t="str">
        <f>IF(A21&lt;&gt;"",'04B Silver Field Treatment'!Q22,"")</f>
        <v/>
      </c>
      <c r="N21" t="str">
        <f>IF(A21&lt;&gt;"",'04B Silver Field Treatment'!R22,"")</f>
        <v/>
      </c>
      <c r="O21" t="str">
        <f>IF(A21&lt;&gt;"",'04B Silver Field Treatment'!S22,"")</f>
        <v/>
      </c>
      <c r="P21" t="str">
        <f>IF(A21&lt;&gt;"",'04B Silver Field Treatment'!V22,"")</f>
        <v/>
      </c>
      <c r="Q21" t="str">
        <f>IF(A21&lt;&gt;"",'04B Silver Field Treatment'!W22,"")</f>
        <v/>
      </c>
    </row>
    <row r="22" spans="1:17" x14ac:dyDescent="0.25">
      <c r="A22" t="str">
        <f>IF('04B Silver Field Treatment'!A23&lt;&gt;"",'04B Silver Field Treatment'!A23,"")</f>
        <v/>
      </c>
      <c r="B22" t="str">
        <f>IF(A22&lt;&gt;"",'04B Silver Field Treatment'!B23,"")</f>
        <v/>
      </c>
      <c r="C22" t="str">
        <f>IF(A22&lt;&gt;"",'04B Silver Field Treatment'!C23,"")</f>
        <v/>
      </c>
      <c r="D22" t="str">
        <f>IF(A22&lt;&gt;"",'04B Silver Field Treatment'!#REF!,"")</f>
        <v/>
      </c>
      <c r="E22" t="str">
        <f>IF(A22&lt;&gt;"",'04B Silver Field Treatment'!D23,"")</f>
        <v/>
      </c>
      <c r="F22" t="str">
        <f>IF(A22&lt;&gt;"",'04B Silver Field Treatment'!F23,"")</f>
        <v/>
      </c>
      <c r="G22" t="str">
        <f>IF(A22&lt;&gt;"",'04B Silver Field Treatment'!K23,"")</f>
        <v/>
      </c>
      <c r="H22" t="str">
        <f>IF(A22&lt;&gt;"",'04B Silver Field Treatment'!L23,"")</f>
        <v/>
      </c>
      <c r="I22" t="str">
        <f>IF(A22&lt;&gt;"",'04B Silver Field Treatment'!M23,"")</f>
        <v/>
      </c>
      <c r="J22" t="str">
        <f>IF(A22&lt;&gt;"",'04B Silver Field Treatment'!N23,"")</f>
        <v/>
      </c>
      <c r="K22" t="str">
        <f>IF(A22&lt;&gt;"",'04B Silver Field Treatment'!O23,"")</f>
        <v/>
      </c>
      <c r="L22" t="str">
        <f>IF(A22&lt;&gt;"",'04B Silver Field Treatment'!P23,"")</f>
        <v/>
      </c>
      <c r="M22" t="str">
        <f>IF(A22&lt;&gt;"",'04B Silver Field Treatment'!Q23,"")</f>
        <v/>
      </c>
      <c r="N22" t="str">
        <f>IF(A22&lt;&gt;"",'04B Silver Field Treatment'!R23,"")</f>
        <v/>
      </c>
      <c r="O22" t="str">
        <f>IF(A22&lt;&gt;"",'04B Silver Field Treatment'!S23,"")</f>
        <v/>
      </c>
      <c r="P22" t="str">
        <f>IF(A22&lt;&gt;"",'04B Silver Field Treatment'!V23,"")</f>
        <v/>
      </c>
      <c r="Q22" t="str">
        <f>IF(A22&lt;&gt;"",'04B Silver Field Treatment'!W23,"")</f>
        <v/>
      </c>
    </row>
    <row r="23" spans="1:17" x14ac:dyDescent="0.25">
      <c r="A23" t="str">
        <f>IF('04B Silver Field Treatment'!A24&lt;&gt;"",'04B Silver Field Treatment'!A24,"")</f>
        <v/>
      </c>
      <c r="B23" t="str">
        <f>IF(A23&lt;&gt;"",'04B Silver Field Treatment'!B24,"")</f>
        <v/>
      </c>
      <c r="C23" t="str">
        <f>IF(A23&lt;&gt;"",'04B Silver Field Treatment'!C24,"")</f>
        <v/>
      </c>
      <c r="D23" t="str">
        <f>IF(A23&lt;&gt;"",'04B Silver Field Treatment'!#REF!,"")</f>
        <v/>
      </c>
      <c r="E23" t="str">
        <f>IF(A23&lt;&gt;"",'04B Silver Field Treatment'!D24,"")</f>
        <v/>
      </c>
      <c r="F23" t="str">
        <f>IF(A23&lt;&gt;"",'04B Silver Field Treatment'!F24,"")</f>
        <v/>
      </c>
      <c r="G23" t="str">
        <f>IF(A23&lt;&gt;"",'04B Silver Field Treatment'!K24,"")</f>
        <v/>
      </c>
      <c r="H23" t="str">
        <f>IF(A23&lt;&gt;"",'04B Silver Field Treatment'!L24,"")</f>
        <v/>
      </c>
      <c r="I23" t="str">
        <f>IF(A23&lt;&gt;"",'04B Silver Field Treatment'!M24,"")</f>
        <v/>
      </c>
      <c r="J23" t="str">
        <f>IF(A23&lt;&gt;"",'04B Silver Field Treatment'!N24,"")</f>
        <v/>
      </c>
      <c r="K23" t="str">
        <f>IF(A23&lt;&gt;"",'04B Silver Field Treatment'!O24,"")</f>
        <v/>
      </c>
      <c r="L23" t="str">
        <f>IF(A23&lt;&gt;"",'04B Silver Field Treatment'!P24,"")</f>
        <v/>
      </c>
      <c r="M23" t="str">
        <f>IF(A23&lt;&gt;"",'04B Silver Field Treatment'!Q24,"")</f>
        <v/>
      </c>
      <c r="N23" t="str">
        <f>IF(A23&lt;&gt;"",'04B Silver Field Treatment'!R24,"")</f>
        <v/>
      </c>
      <c r="O23" t="str">
        <f>IF(A23&lt;&gt;"",'04B Silver Field Treatment'!S24,"")</f>
        <v/>
      </c>
      <c r="P23" t="str">
        <f>IF(A23&lt;&gt;"",'04B Silver Field Treatment'!V24,"")</f>
        <v/>
      </c>
      <c r="Q23" t="str">
        <f>IF(A23&lt;&gt;"",'04B Silver Field Treatment'!W24,"")</f>
        <v/>
      </c>
    </row>
    <row r="24" spans="1:17" x14ac:dyDescent="0.25">
      <c r="A24" t="str">
        <f>IF('04B Silver Field Treatment'!A25&lt;&gt;"",'04B Silver Field Treatment'!A25,"")</f>
        <v/>
      </c>
      <c r="B24" t="str">
        <f>IF(A24&lt;&gt;"",'04B Silver Field Treatment'!B25,"")</f>
        <v/>
      </c>
      <c r="C24" t="str">
        <f>IF(A24&lt;&gt;"",'04B Silver Field Treatment'!C25,"")</f>
        <v/>
      </c>
      <c r="D24" t="str">
        <f>IF(A24&lt;&gt;"",'04B Silver Field Treatment'!#REF!,"")</f>
        <v/>
      </c>
      <c r="E24" t="str">
        <f>IF(A24&lt;&gt;"",'04B Silver Field Treatment'!D25,"")</f>
        <v/>
      </c>
      <c r="F24" t="str">
        <f>IF(A24&lt;&gt;"",'04B Silver Field Treatment'!F25,"")</f>
        <v/>
      </c>
      <c r="G24" t="str">
        <f>IF(A24&lt;&gt;"",'04B Silver Field Treatment'!K25,"")</f>
        <v/>
      </c>
      <c r="H24" t="str">
        <f>IF(A24&lt;&gt;"",'04B Silver Field Treatment'!L25,"")</f>
        <v/>
      </c>
      <c r="I24" t="str">
        <f>IF(A24&lt;&gt;"",'04B Silver Field Treatment'!M25,"")</f>
        <v/>
      </c>
      <c r="J24" t="str">
        <f>IF(A24&lt;&gt;"",'04B Silver Field Treatment'!N25,"")</f>
        <v/>
      </c>
      <c r="K24" t="str">
        <f>IF(A24&lt;&gt;"",'04B Silver Field Treatment'!O25,"")</f>
        <v/>
      </c>
      <c r="L24" t="str">
        <f>IF(A24&lt;&gt;"",'04B Silver Field Treatment'!P25,"")</f>
        <v/>
      </c>
      <c r="M24" t="str">
        <f>IF(A24&lt;&gt;"",'04B Silver Field Treatment'!Q25,"")</f>
        <v/>
      </c>
      <c r="N24" t="str">
        <f>IF(A24&lt;&gt;"",'04B Silver Field Treatment'!R25,"")</f>
        <v/>
      </c>
      <c r="O24" t="str">
        <f>IF(A24&lt;&gt;"",'04B Silver Field Treatment'!S25,"")</f>
        <v/>
      </c>
      <c r="P24" t="str">
        <f>IF(A24&lt;&gt;"",'04B Silver Field Treatment'!V25,"")</f>
        <v/>
      </c>
      <c r="Q24" t="str">
        <f>IF(A24&lt;&gt;"",'04B Silver Field Treatment'!W25,"")</f>
        <v/>
      </c>
    </row>
    <row r="25" spans="1:17" x14ac:dyDescent="0.25">
      <c r="A25" t="str">
        <f>IF('04B Silver Field Treatment'!A26&lt;&gt;"",'04B Silver Field Treatment'!A26,"")</f>
        <v/>
      </c>
      <c r="B25" t="str">
        <f>IF(A25&lt;&gt;"",'04B Silver Field Treatment'!B26,"")</f>
        <v/>
      </c>
      <c r="C25" t="str">
        <f>IF(A25&lt;&gt;"",'04B Silver Field Treatment'!C26,"")</f>
        <v/>
      </c>
      <c r="D25" t="str">
        <f>IF(A25&lt;&gt;"",'04B Silver Field Treatment'!#REF!,"")</f>
        <v/>
      </c>
      <c r="E25" t="str">
        <f>IF(A25&lt;&gt;"",'04B Silver Field Treatment'!D26,"")</f>
        <v/>
      </c>
      <c r="F25" t="str">
        <f>IF(A25&lt;&gt;"",'04B Silver Field Treatment'!F26,"")</f>
        <v/>
      </c>
      <c r="G25" t="str">
        <f>IF(A25&lt;&gt;"",'04B Silver Field Treatment'!K26,"")</f>
        <v/>
      </c>
      <c r="H25" t="str">
        <f>IF(A25&lt;&gt;"",'04B Silver Field Treatment'!L26,"")</f>
        <v/>
      </c>
      <c r="I25" t="str">
        <f>IF(A25&lt;&gt;"",'04B Silver Field Treatment'!M26,"")</f>
        <v/>
      </c>
      <c r="J25" t="str">
        <f>IF(A25&lt;&gt;"",'04B Silver Field Treatment'!N26,"")</f>
        <v/>
      </c>
      <c r="K25" t="str">
        <f>IF(A25&lt;&gt;"",'04B Silver Field Treatment'!O26,"")</f>
        <v/>
      </c>
      <c r="L25" t="str">
        <f>IF(A25&lt;&gt;"",'04B Silver Field Treatment'!P26,"")</f>
        <v/>
      </c>
      <c r="M25" t="str">
        <f>IF(A25&lt;&gt;"",'04B Silver Field Treatment'!Q26,"")</f>
        <v/>
      </c>
      <c r="N25" t="str">
        <f>IF(A25&lt;&gt;"",'04B Silver Field Treatment'!R26,"")</f>
        <v/>
      </c>
      <c r="O25" t="str">
        <f>IF(A25&lt;&gt;"",'04B Silver Field Treatment'!S26,"")</f>
        <v/>
      </c>
      <c r="P25" t="str">
        <f>IF(A25&lt;&gt;"",'04B Silver Field Treatment'!V26,"")</f>
        <v/>
      </c>
      <c r="Q25" t="str">
        <f>IF(A25&lt;&gt;"",'04B Silver Field Treatment'!W26,"")</f>
        <v/>
      </c>
    </row>
    <row r="26" spans="1:17" x14ac:dyDescent="0.25">
      <c r="A26" t="str">
        <f>IF('04B Silver Field Treatment'!A27&lt;&gt;"",'04B Silver Field Treatment'!A27,"")</f>
        <v/>
      </c>
      <c r="B26" t="str">
        <f>IF(A26&lt;&gt;"",'04B Silver Field Treatment'!B27,"")</f>
        <v/>
      </c>
      <c r="C26" t="str">
        <f>IF(A26&lt;&gt;"",'04B Silver Field Treatment'!C27,"")</f>
        <v/>
      </c>
      <c r="D26" t="str">
        <f>IF(A26&lt;&gt;"",'04B Silver Field Treatment'!#REF!,"")</f>
        <v/>
      </c>
      <c r="E26" t="str">
        <f>IF(A26&lt;&gt;"",'04B Silver Field Treatment'!D27,"")</f>
        <v/>
      </c>
      <c r="F26" t="str">
        <f>IF(A26&lt;&gt;"",'04B Silver Field Treatment'!F27,"")</f>
        <v/>
      </c>
      <c r="G26" t="str">
        <f>IF(A26&lt;&gt;"",'04B Silver Field Treatment'!K27,"")</f>
        <v/>
      </c>
      <c r="H26" t="str">
        <f>IF(A26&lt;&gt;"",'04B Silver Field Treatment'!L27,"")</f>
        <v/>
      </c>
      <c r="I26" t="str">
        <f>IF(A26&lt;&gt;"",'04B Silver Field Treatment'!M27,"")</f>
        <v/>
      </c>
      <c r="J26" t="str">
        <f>IF(A26&lt;&gt;"",'04B Silver Field Treatment'!N27,"")</f>
        <v/>
      </c>
      <c r="K26" t="str">
        <f>IF(A26&lt;&gt;"",'04B Silver Field Treatment'!O27,"")</f>
        <v/>
      </c>
      <c r="L26" t="str">
        <f>IF(A26&lt;&gt;"",'04B Silver Field Treatment'!P27,"")</f>
        <v/>
      </c>
      <c r="M26" t="str">
        <f>IF(A26&lt;&gt;"",'04B Silver Field Treatment'!Q27,"")</f>
        <v/>
      </c>
      <c r="N26" t="str">
        <f>IF(A26&lt;&gt;"",'04B Silver Field Treatment'!R27,"")</f>
        <v/>
      </c>
      <c r="O26" t="str">
        <f>IF(A26&lt;&gt;"",'04B Silver Field Treatment'!S27,"")</f>
        <v/>
      </c>
      <c r="P26" t="str">
        <f>IF(A26&lt;&gt;"",'04B Silver Field Treatment'!V27,"")</f>
        <v/>
      </c>
      <c r="Q26" t="str">
        <f>IF(A26&lt;&gt;"",'04B Silver Field Treatment'!W27,"")</f>
        <v/>
      </c>
    </row>
    <row r="27" spans="1:17" x14ac:dyDescent="0.25">
      <c r="A27" t="str">
        <f>IF('04B Silver Field Treatment'!A28&lt;&gt;"",'04B Silver Field Treatment'!A28,"")</f>
        <v/>
      </c>
      <c r="B27" t="str">
        <f>IF(A27&lt;&gt;"",'04B Silver Field Treatment'!B28,"")</f>
        <v/>
      </c>
      <c r="C27" t="str">
        <f>IF(A27&lt;&gt;"",'04B Silver Field Treatment'!C28,"")</f>
        <v/>
      </c>
      <c r="D27" t="str">
        <f>IF(A27&lt;&gt;"",'04B Silver Field Treatment'!#REF!,"")</f>
        <v/>
      </c>
      <c r="E27" t="str">
        <f>IF(A27&lt;&gt;"",'04B Silver Field Treatment'!D28,"")</f>
        <v/>
      </c>
      <c r="F27" t="str">
        <f>IF(A27&lt;&gt;"",'04B Silver Field Treatment'!F28,"")</f>
        <v/>
      </c>
      <c r="G27" t="str">
        <f>IF(A27&lt;&gt;"",'04B Silver Field Treatment'!K28,"")</f>
        <v/>
      </c>
      <c r="H27" t="str">
        <f>IF(A27&lt;&gt;"",'04B Silver Field Treatment'!L28,"")</f>
        <v/>
      </c>
      <c r="I27" t="str">
        <f>IF(A27&lt;&gt;"",'04B Silver Field Treatment'!M28,"")</f>
        <v/>
      </c>
      <c r="J27" t="str">
        <f>IF(A27&lt;&gt;"",'04B Silver Field Treatment'!N28,"")</f>
        <v/>
      </c>
      <c r="K27" t="str">
        <f>IF(A27&lt;&gt;"",'04B Silver Field Treatment'!O28,"")</f>
        <v/>
      </c>
      <c r="L27" t="str">
        <f>IF(A27&lt;&gt;"",'04B Silver Field Treatment'!P28,"")</f>
        <v/>
      </c>
      <c r="M27" t="str">
        <f>IF(A27&lt;&gt;"",'04B Silver Field Treatment'!Q28,"")</f>
        <v/>
      </c>
      <c r="N27" t="str">
        <f>IF(A27&lt;&gt;"",'04B Silver Field Treatment'!R28,"")</f>
        <v/>
      </c>
      <c r="O27" t="str">
        <f>IF(A27&lt;&gt;"",'04B Silver Field Treatment'!S28,"")</f>
        <v/>
      </c>
      <c r="P27" t="str">
        <f>IF(A27&lt;&gt;"",'04B Silver Field Treatment'!V28,"")</f>
        <v/>
      </c>
      <c r="Q27" t="str">
        <f>IF(A27&lt;&gt;"",'04B Silver Field Treatment'!W28,"")</f>
        <v/>
      </c>
    </row>
    <row r="28" spans="1:17" x14ac:dyDescent="0.25">
      <c r="A28" t="str">
        <f>IF('04B Silver Field Treatment'!A29&lt;&gt;"",'04B Silver Field Treatment'!A29,"")</f>
        <v/>
      </c>
      <c r="B28" t="str">
        <f>IF(A28&lt;&gt;"",'04B Silver Field Treatment'!B29,"")</f>
        <v/>
      </c>
      <c r="C28" t="str">
        <f>IF(A28&lt;&gt;"",'04B Silver Field Treatment'!C29,"")</f>
        <v/>
      </c>
      <c r="D28" t="str">
        <f>IF(A28&lt;&gt;"",'04B Silver Field Treatment'!#REF!,"")</f>
        <v/>
      </c>
      <c r="E28" t="str">
        <f>IF(A28&lt;&gt;"",'04B Silver Field Treatment'!D29,"")</f>
        <v/>
      </c>
      <c r="F28" t="str">
        <f>IF(A28&lt;&gt;"",'04B Silver Field Treatment'!F29,"")</f>
        <v/>
      </c>
      <c r="G28" t="str">
        <f>IF(A28&lt;&gt;"",'04B Silver Field Treatment'!K29,"")</f>
        <v/>
      </c>
      <c r="H28" t="str">
        <f>IF(A28&lt;&gt;"",'04B Silver Field Treatment'!L29,"")</f>
        <v/>
      </c>
      <c r="I28" t="str">
        <f>IF(A28&lt;&gt;"",'04B Silver Field Treatment'!M29,"")</f>
        <v/>
      </c>
      <c r="J28" t="str">
        <f>IF(A28&lt;&gt;"",'04B Silver Field Treatment'!N29,"")</f>
        <v/>
      </c>
      <c r="K28" t="str">
        <f>IF(A28&lt;&gt;"",'04B Silver Field Treatment'!O29,"")</f>
        <v/>
      </c>
      <c r="L28" t="str">
        <f>IF(A28&lt;&gt;"",'04B Silver Field Treatment'!P29,"")</f>
        <v/>
      </c>
      <c r="M28" t="str">
        <f>IF(A28&lt;&gt;"",'04B Silver Field Treatment'!Q29,"")</f>
        <v/>
      </c>
      <c r="N28" t="str">
        <f>IF(A28&lt;&gt;"",'04B Silver Field Treatment'!R29,"")</f>
        <v/>
      </c>
      <c r="O28" t="str">
        <f>IF(A28&lt;&gt;"",'04B Silver Field Treatment'!S29,"")</f>
        <v/>
      </c>
      <c r="P28" t="str">
        <f>IF(A28&lt;&gt;"",'04B Silver Field Treatment'!V29,"")</f>
        <v/>
      </c>
      <c r="Q28" t="str">
        <f>IF(A28&lt;&gt;"",'04B Silver Field Treatment'!W29,"")</f>
        <v/>
      </c>
    </row>
    <row r="29" spans="1:17" x14ac:dyDescent="0.25">
      <c r="A29" t="str">
        <f>IF('04B Silver Field Treatment'!A30&lt;&gt;"",'04B Silver Field Treatment'!A30,"")</f>
        <v/>
      </c>
      <c r="B29" t="str">
        <f>IF(A29&lt;&gt;"",'04B Silver Field Treatment'!B30,"")</f>
        <v/>
      </c>
      <c r="C29" t="str">
        <f>IF(A29&lt;&gt;"",'04B Silver Field Treatment'!C30,"")</f>
        <v/>
      </c>
      <c r="D29" t="str">
        <f>IF(A29&lt;&gt;"",'04B Silver Field Treatment'!#REF!,"")</f>
        <v/>
      </c>
      <c r="E29" t="str">
        <f>IF(A29&lt;&gt;"",'04B Silver Field Treatment'!D30,"")</f>
        <v/>
      </c>
      <c r="F29" t="str">
        <f>IF(A29&lt;&gt;"",'04B Silver Field Treatment'!F30,"")</f>
        <v/>
      </c>
      <c r="G29" t="str">
        <f>IF(A29&lt;&gt;"",'04B Silver Field Treatment'!K30,"")</f>
        <v/>
      </c>
      <c r="H29" t="str">
        <f>IF(A29&lt;&gt;"",'04B Silver Field Treatment'!L30,"")</f>
        <v/>
      </c>
      <c r="I29" t="str">
        <f>IF(A29&lt;&gt;"",'04B Silver Field Treatment'!M30,"")</f>
        <v/>
      </c>
      <c r="J29" t="str">
        <f>IF(A29&lt;&gt;"",'04B Silver Field Treatment'!N30,"")</f>
        <v/>
      </c>
      <c r="K29" t="str">
        <f>IF(A29&lt;&gt;"",'04B Silver Field Treatment'!O30,"")</f>
        <v/>
      </c>
      <c r="L29" t="str">
        <f>IF(A29&lt;&gt;"",'04B Silver Field Treatment'!P30,"")</f>
        <v/>
      </c>
      <c r="M29" t="str">
        <f>IF(A29&lt;&gt;"",'04B Silver Field Treatment'!Q30,"")</f>
        <v/>
      </c>
      <c r="N29" t="str">
        <f>IF(A29&lt;&gt;"",'04B Silver Field Treatment'!R30,"")</f>
        <v/>
      </c>
      <c r="O29" t="str">
        <f>IF(A29&lt;&gt;"",'04B Silver Field Treatment'!S30,"")</f>
        <v/>
      </c>
      <c r="P29" t="str">
        <f>IF(A29&lt;&gt;"",'04B Silver Field Treatment'!V30,"")</f>
        <v/>
      </c>
      <c r="Q29" t="str">
        <f>IF(A29&lt;&gt;"",'04B Silver Field Treatment'!W30,"")</f>
        <v/>
      </c>
    </row>
    <row r="30" spans="1:17" x14ac:dyDescent="0.25">
      <c r="A30" t="str">
        <f>IF('04B Silver Field Treatment'!A31&lt;&gt;"",'04B Silver Field Treatment'!A31,"")</f>
        <v/>
      </c>
      <c r="B30" t="str">
        <f>IF(A30&lt;&gt;"",'04B Silver Field Treatment'!B31,"")</f>
        <v/>
      </c>
      <c r="C30" t="str">
        <f>IF(A30&lt;&gt;"",'04B Silver Field Treatment'!C31,"")</f>
        <v/>
      </c>
      <c r="D30" t="str">
        <f>IF(A30&lt;&gt;"",'04B Silver Field Treatment'!#REF!,"")</f>
        <v/>
      </c>
      <c r="E30" t="str">
        <f>IF(A30&lt;&gt;"",'04B Silver Field Treatment'!D31,"")</f>
        <v/>
      </c>
      <c r="F30" t="str">
        <f>IF(A30&lt;&gt;"",'04B Silver Field Treatment'!F31,"")</f>
        <v/>
      </c>
      <c r="G30" t="str">
        <f>IF(A30&lt;&gt;"",'04B Silver Field Treatment'!K31,"")</f>
        <v/>
      </c>
      <c r="H30" t="str">
        <f>IF(A30&lt;&gt;"",'04B Silver Field Treatment'!L31,"")</f>
        <v/>
      </c>
      <c r="I30" t="str">
        <f>IF(A30&lt;&gt;"",'04B Silver Field Treatment'!M31,"")</f>
        <v/>
      </c>
      <c r="J30" t="str">
        <f>IF(A30&lt;&gt;"",'04B Silver Field Treatment'!N31,"")</f>
        <v/>
      </c>
      <c r="K30" t="str">
        <f>IF(A30&lt;&gt;"",'04B Silver Field Treatment'!O31,"")</f>
        <v/>
      </c>
      <c r="L30" t="str">
        <f>IF(A30&lt;&gt;"",'04B Silver Field Treatment'!P31,"")</f>
        <v/>
      </c>
      <c r="M30" t="str">
        <f>IF(A30&lt;&gt;"",'04B Silver Field Treatment'!Q31,"")</f>
        <v/>
      </c>
      <c r="N30" t="str">
        <f>IF(A30&lt;&gt;"",'04B Silver Field Treatment'!R31,"")</f>
        <v/>
      </c>
      <c r="O30" t="str">
        <f>IF(A30&lt;&gt;"",'04B Silver Field Treatment'!S31,"")</f>
        <v/>
      </c>
      <c r="P30" t="str">
        <f>IF(A30&lt;&gt;"",'04B Silver Field Treatment'!V31,"")</f>
        <v/>
      </c>
      <c r="Q30" t="str">
        <f>IF(A30&lt;&gt;"",'04B Silver Field Treatment'!W31,"")</f>
        <v/>
      </c>
    </row>
    <row r="31" spans="1:17" x14ac:dyDescent="0.25">
      <c r="A31" t="str">
        <f>IF('04B Silver Field Treatment'!A32&lt;&gt;"",'04B Silver Field Treatment'!A32,"")</f>
        <v/>
      </c>
      <c r="B31" t="str">
        <f>IF(A31&lt;&gt;"",'04B Silver Field Treatment'!B32,"")</f>
        <v/>
      </c>
      <c r="C31" t="str">
        <f>IF(A31&lt;&gt;"",'04B Silver Field Treatment'!C32,"")</f>
        <v/>
      </c>
      <c r="D31" t="str">
        <f>IF(A31&lt;&gt;"",'04B Silver Field Treatment'!#REF!,"")</f>
        <v/>
      </c>
      <c r="E31" t="str">
        <f>IF(A31&lt;&gt;"",'04B Silver Field Treatment'!D32,"")</f>
        <v/>
      </c>
      <c r="F31" t="str">
        <f>IF(A31&lt;&gt;"",'04B Silver Field Treatment'!F32,"")</f>
        <v/>
      </c>
      <c r="G31" t="str">
        <f>IF(A31&lt;&gt;"",'04B Silver Field Treatment'!K32,"")</f>
        <v/>
      </c>
      <c r="H31" t="str">
        <f>IF(A31&lt;&gt;"",'04B Silver Field Treatment'!L32,"")</f>
        <v/>
      </c>
      <c r="I31" t="str">
        <f>IF(A31&lt;&gt;"",'04B Silver Field Treatment'!M32,"")</f>
        <v/>
      </c>
      <c r="J31" t="str">
        <f>IF(A31&lt;&gt;"",'04B Silver Field Treatment'!N32,"")</f>
        <v/>
      </c>
      <c r="K31" t="str">
        <f>IF(A31&lt;&gt;"",'04B Silver Field Treatment'!O32,"")</f>
        <v/>
      </c>
      <c r="L31" t="str">
        <f>IF(A31&lt;&gt;"",'04B Silver Field Treatment'!P32,"")</f>
        <v/>
      </c>
      <c r="M31" t="str">
        <f>IF(A31&lt;&gt;"",'04B Silver Field Treatment'!Q32,"")</f>
        <v/>
      </c>
      <c r="N31" t="str">
        <f>IF(A31&lt;&gt;"",'04B Silver Field Treatment'!R32,"")</f>
        <v/>
      </c>
      <c r="O31" t="str">
        <f>IF(A31&lt;&gt;"",'04B Silver Field Treatment'!S32,"")</f>
        <v/>
      </c>
      <c r="P31" t="str">
        <f>IF(A31&lt;&gt;"",'04B Silver Field Treatment'!V32,"")</f>
        <v/>
      </c>
      <c r="Q31" t="str">
        <f>IF(A31&lt;&gt;"",'04B Silver Field Treatment'!W32,"")</f>
        <v/>
      </c>
    </row>
    <row r="32" spans="1:17" x14ac:dyDescent="0.25">
      <c r="A32" t="str">
        <f>IF('04B Silver Field Treatment'!A33&lt;&gt;"",'04B Silver Field Treatment'!A33,"")</f>
        <v/>
      </c>
      <c r="B32" t="str">
        <f>IF(A32&lt;&gt;"",'04B Silver Field Treatment'!B33,"")</f>
        <v/>
      </c>
      <c r="C32" t="str">
        <f>IF(A32&lt;&gt;"",'04B Silver Field Treatment'!C33,"")</f>
        <v/>
      </c>
      <c r="D32" t="str">
        <f>IF(A32&lt;&gt;"",'04B Silver Field Treatment'!#REF!,"")</f>
        <v/>
      </c>
      <c r="E32" t="str">
        <f>IF(A32&lt;&gt;"",'04B Silver Field Treatment'!D33,"")</f>
        <v/>
      </c>
      <c r="F32" t="str">
        <f>IF(A32&lt;&gt;"",'04B Silver Field Treatment'!F33,"")</f>
        <v/>
      </c>
      <c r="G32" t="str">
        <f>IF(A32&lt;&gt;"",'04B Silver Field Treatment'!K33,"")</f>
        <v/>
      </c>
      <c r="H32" t="str">
        <f>IF(A32&lt;&gt;"",'04B Silver Field Treatment'!L33,"")</f>
        <v/>
      </c>
      <c r="I32" t="str">
        <f>IF(A32&lt;&gt;"",'04B Silver Field Treatment'!M33,"")</f>
        <v/>
      </c>
      <c r="J32" t="str">
        <f>IF(A32&lt;&gt;"",'04B Silver Field Treatment'!N33,"")</f>
        <v/>
      </c>
      <c r="K32" t="str">
        <f>IF(A32&lt;&gt;"",'04B Silver Field Treatment'!O33,"")</f>
        <v/>
      </c>
      <c r="L32" t="str">
        <f>IF(A32&lt;&gt;"",'04B Silver Field Treatment'!P33,"")</f>
        <v/>
      </c>
      <c r="M32" t="str">
        <f>IF(A32&lt;&gt;"",'04B Silver Field Treatment'!Q33,"")</f>
        <v/>
      </c>
      <c r="N32" t="str">
        <f>IF(A32&lt;&gt;"",'04B Silver Field Treatment'!R33,"")</f>
        <v/>
      </c>
      <c r="O32" t="str">
        <f>IF(A32&lt;&gt;"",'04B Silver Field Treatment'!S33,"")</f>
        <v/>
      </c>
      <c r="P32" t="str">
        <f>IF(A32&lt;&gt;"",'04B Silver Field Treatment'!V33,"")</f>
        <v/>
      </c>
      <c r="Q32" t="str">
        <f>IF(A32&lt;&gt;"",'04B Silver Field Treatment'!W33,"")</f>
        <v/>
      </c>
    </row>
    <row r="33" spans="1:17" x14ac:dyDescent="0.25">
      <c r="A33" t="str">
        <f>IF('04B Silver Field Treatment'!A34&lt;&gt;"",'04B Silver Field Treatment'!A34,"")</f>
        <v/>
      </c>
      <c r="B33" t="str">
        <f>IF(A33&lt;&gt;"",'04B Silver Field Treatment'!B34,"")</f>
        <v/>
      </c>
      <c r="C33" t="str">
        <f>IF(A33&lt;&gt;"",'04B Silver Field Treatment'!C34,"")</f>
        <v/>
      </c>
      <c r="D33" t="str">
        <f>IF(A33&lt;&gt;"",'04B Silver Field Treatment'!#REF!,"")</f>
        <v/>
      </c>
      <c r="E33" t="str">
        <f>IF(A33&lt;&gt;"",'04B Silver Field Treatment'!D34,"")</f>
        <v/>
      </c>
      <c r="F33" t="str">
        <f>IF(A33&lt;&gt;"",'04B Silver Field Treatment'!F34,"")</f>
        <v/>
      </c>
      <c r="G33" t="str">
        <f>IF(A33&lt;&gt;"",'04B Silver Field Treatment'!K34,"")</f>
        <v/>
      </c>
      <c r="H33" t="str">
        <f>IF(A33&lt;&gt;"",'04B Silver Field Treatment'!L34,"")</f>
        <v/>
      </c>
      <c r="I33" t="str">
        <f>IF(A33&lt;&gt;"",'04B Silver Field Treatment'!M34,"")</f>
        <v/>
      </c>
      <c r="J33" t="str">
        <f>IF(A33&lt;&gt;"",'04B Silver Field Treatment'!N34,"")</f>
        <v/>
      </c>
      <c r="K33" t="str">
        <f>IF(A33&lt;&gt;"",'04B Silver Field Treatment'!O34,"")</f>
        <v/>
      </c>
      <c r="L33" t="str">
        <f>IF(A33&lt;&gt;"",'04B Silver Field Treatment'!P34,"")</f>
        <v/>
      </c>
      <c r="M33" t="str">
        <f>IF(A33&lt;&gt;"",'04B Silver Field Treatment'!Q34,"")</f>
        <v/>
      </c>
      <c r="N33" t="str">
        <f>IF(A33&lt;&gt;"",'04B Silver Field Treatment'!R34,"")</f>
        <v/>
      </c>
      <c r="O33" t="str">
        <f>IF(A33&lt;&gt;"",'04B Silver Field Treatment'!S34,"")</f>
        <v/>
      </c>
      <c r="P33" t="str">
        <f>IF(A33&lt;&gt;"",'04B Silver Field Treatment'!V34,"")</f>
        <v/>
      </c>
      <c r="Q33" t="str">
        <f>IF(A33&lt;&gt;"",'04B Silver Field Treatment'!W34,"")</f>
        <v/>
      </c>
    </row>
    <row r="34" spans="1:17" x14ac:dyDescent="0.25">
      <c r="A34" t="str">
        <f>IF('04B Silver Field Treatment'!A35&lt;&gt;"",'04B Silver Field Treatment'!A35,"")</f>
        <v/>
      </c>
      <c r="B34" t="str">
        <f>IF(A34&lt;&gt;"",'04B Silver Field Treatment'!B35,"")</f>
        <v/>
      </c>
      <c r="C34" t="str">
        <f>IF(A34&lt;&gt;"",'04B Silver Field Treatment'!C35,"")</f>
        <v/>
      </c>
      <c r="D34" t="str">
        <f>IF(A34&lt;&gt;"",'04B Silver Field Treatment'!#REF!,"")</f>
        <v/>
      </c>
      <c r="E34" t="str">
        <f>IF(A34&lt;&gt;"",'04B Silver Field Treatment'!D35,"")</f>
        <v/>
      </c>
      <c r="F34" t="str">
        <f>IF(A34&lt;&gt;"",'04B Silver Field Treatment'!F35,"")</f>
        <v/>
      </c>
      <c r="G34" t="str">
        <f>IF(A34&lt;&gt;"",'04B Silver Field Treatment'!K35,"")</f>
        <v/>
      </c>
      <c r="H34" t="str">
        <f>IF(A34&lt;&gt;"",'04B Silver Field Treatment'!L35,"")</f>
        <v/>
      </c>
      <c r="I34" t="str">
        <f>IF(A34&lt;&gt;"",'04B Silver Field Treatment'!M35,"")</f>
        <v/>
      </c>
      <c r="J34" t="str">
        <f>IF(A34&lt;&gt;"",'04B Silver Field Treatment'!N35,"")</f>
        <v/>
      </c>
      <c r="K34" t="str">
        <f>IF(A34&lt;&gt;"",'04B Silver Field Treatment'!O35,"")</f>
        <v/>
      </c>
      <c r="L34" t="str">
        <f>IF(A34&lt;&gt;"",'04B Silver Field Treatment'!P35,"")</f>
        <v/>
      </c>
      <c r="M34" t="str">
        <f>IF(A34&lt;&gt;"",'04B Silver Field Treatment'!Q35,"")</f>
        <v/>
      </c>
      <c r="N34" t="str">
        <f>IF(A34&lt;&gt;"",'04B Silver Field Treatment'!R35,"")</f>
        <v/>
      </c>
      <c r="O34" t="str">
        <f>IF(A34&lt;&gt;"",'04B Silver Field Treatment'!S35,"")</f>
        <v/>
      </c>
      <c r="P34" t="str">
        <f>IF(A34&lt;&gt;"",'04B Silver Field Treatment'!V35,"")</f>
        <v/>
      </c>
      <c r="Q34" t="str">
        <f>IF(A34&lt;&gt;"",'04B Silver Field Treatment'!W35,"")</f>
        <v/>
      </c>
    </row>
    <row r="35" spans="1:17" x14ac:dyDescent="0.25">
      <c r="A35" t="str">
        <f>IF('04B Silver Field Treatment'!A36&lt;&gt;"",'04B Silver Field Treatment'!A36,"")</f>
        <v/>
      </c>
      <c r="B35" t="str">
        <f>IF(A35&lt;&gt;"",'04B Silver Field Treatment'!B36,"")</f>
        <v/>
      </c>
      <c r="C35" t="str">
        <f>IF(A35&lt;&gt;"",'04B Silver Field Treatment'!C36,"")</f>
        <v/>
      </c>
      <c r="D35" t="str">
        <f>IF(A35&lt;&gt;"",'04B Silver Field Treatment'!#REF!,"")</f>
        <v/>
      </c>
      <c r="E35" t="str">
        <f>IF(A35&lt;&gt;"",'04B Silver Field Treatment'!D36,"")</f>
        <v/>
      </c>
      <c r="F35" t="str">
        <f>IF(A35&lt;&gt;"",'04B Silver Field Treatment'!F36,"")</f>
        <v/>
      </c>
      <c r="G35" t="str">
        <f>IF(A35&lt;&gt;"",'04B Silver Field Treatment'!K36,"")</f>
        <v/>
      </c>
      <c r="H35" t="str">
        <f>IF(A35&lt;&gt;"",'04B Silver Field Treatment'!L36,"")</f>
        <v/>
      </c>
      <c r="I35" t="str">
        <f>IF(A35&lt;&gt;"",'04B Silver Field Treatment'!M36,"")</f>
        <v/>
      </c>
      <c r="J35" t="str">
        <f>IF(A35&lt;&gt;"",'04B Silver Field Treatment'!N36,"")</f>
        <v/>
      </c>
      <c r="K35" t="str">
        <f>IF(A35&lt;&gt;"",'04B Silver Field Treatment'!O36,"")</f>
        <v/>
      </c>
      <c r="L35" t="str">
        <f>IF(A35&lt;&gt;"",'04B Silver Field Treatment'!P36,"")</f>
        <v/>
      </c>
      <c r="M35" t="str">
        <f>IF(A35&lt;&gt;"",'04B Silver Field Treatment'!Q36,"")</f>
        <v/>
      </c>
      <c r="N35" t="str">
        <f>IF(A35&lt;&gt;"",'04B Silver Field Treatment'!R36,"")</f>
        <v/>
      </c>
      <c r="O35" t="str">
        <f>IF(A35&lt;&gt;"",'04B Silver Field Treatment'!S36,"")</f>
        <v/>
      </c>
      <c r="P35" t="str">
        <f>IF(A35&lt;&gt;"",'04B Silver Field Treatment'!V36,"")</f>
        <v/>
      </c>
      <c r="Q35" t="str">
        <f>IF(A35&lt;&gt;"",'04B Silver Field Treatment'!W36,"")</f>
        <v/>
      </c>
    </row>
    <row r="36" spans="1:17" x14ac:dyDescent="0.25">
      <c r="A36" t="str">
        <f>IF('04B Silver Field Treatment'!A37&lt;&gt;"",'04B Silver Field Treatment'!A37,"")</f>
        <v/>
      </c>
      <c r="B36" t="str">
        <f>IF(A36&lt;&gt;"",'04B Silver Field Treatment'!B37,"")</f>
        <v/>
      </c>
      <c r="C36" t="str">
        <f>IF(A36&lt;&gt;"",'04B Silver Field Treatment'!C37,"")</f>
        <v/>
      </c>
      <c r="D36" t="str">
        <f>IF(A36&lt;&gt;"",'04B Silver Field Treatment'!#REF!,"")</f>
        <v/>
      </c>
      <c r="E36" t="str">
        <f>IF(A36&lt;&gt;"",'04B Silver Field Treatment'!D37,"")</f>
        <v/>
      </c>
      <c r="F36" t="str">
        <f>IF(A36&lt;&gt;"",'04B Silver Field Treatment'!F37,"")</f>
        <v/>
      </c>
      <c r="G36" t="str">
        <f>IF(A36&lt;&gt;"",'04B Silver Field Treatment'!K37,"")</f>
        <v/>
      </c>
      <c r="H36" t="str">
        <f>IF(A36&lt;&gt;"",'04B Silver Field Treatment'!L37,"")</f>
        <v/>
      </c>
      <c r="I36" t="str">
        <f>IF(A36&lt;&gt;"",'04B Silver Field Treatment'!M37,"")</f>
        <v/>
      </c>
      <c r="J36" t="str">
        <f>IF(A36&lt;&gt;"",'04B Silver Field Treatment'!N37,"")</f>
        <v/>
      </c>
      <c r="K36" t="str">
        <f>IF(A36&lt;&gt;"",'04B Silver Field Treatment'!O37,"")</f>
        <v/>
      </c>
      <c r="L36" t="str">
        <f>IF(A36&lt;&gt;"",'04B Silver Field Treatment'!P37,"")</f>
        <v/>
      </c>
      <c r="M36" t="str">
        <f>IF(A36&lt;&gt;"",'04B Silver Field Treatment'!Q37,"")</f>
        <v/>
      </c>
      <c r="N36" t="str">
        <f>IF(A36&lt;&gt;"",'04B Silver Field Treatment'!R37,"")</f>
        <v/>
      </c>
      <c r="O36" t="str">
        <f>IF(A36&lt;&gt;"",'04B Silver Field Treatment'!S37,"")</f>
        <v/>
      </c>
      <c r="P36" t="str">
        <f>IF(A36&lt;&gt;"",'04B Silver Field Treatment'!V37,"")</f>
        <v/>
      </c>
      <c r="Q36" t="str">
        <f>IF(A36&lt;&gt;"",'04B Silver Field Treatment'!W37,"")</f>
        <v/>
      </c>
    </row>
    <row r="37" spans="1:17" x14ac:dyDescent="0.25">
      <c r="A37" t="str">
        <f>IF('04B Silver Field Treatment'!A38&lt;&gt;"",'04B Silver Field Treatment'!A38,"")</f>
        <v/>
      </c>
      <c r="B37" t="str">
        <f>IF(A37&lt;&gt;"",'04B Silver Field Treatment'!B38,"")</f>
        <v/>
      </c>
      <c r="C37" t="str">
        <f>IF(A37&lt;&gt;"",'04B Silver Field Treatment'!C38,"")</f>
        <v/>
      </c>
      <c r="D37" t="str">
        <f>IF(A37&lt;&gt;"",'04B Silver Field Treatment'!#REF!,"")</f>
        <v/>
      </c>
      <c r="E37" t="str">
        <f>IF(A37&lt;&gt;"",'04B Silver Field Treatment'!D38,"")</f>
        <v/>
      </c>
      <c r="F37" t="str">
        <f>IF(A37&lt;&gt;"",'04B Silver Field Treatment'!F38,"")</f>
        <v/>
      </c>
      <c r="G37" t="str">
        <f>IF(A37&lt;&gt;"",'04B Silver Field Treatment'!K38,"")</f>
        <v/>
      </c>
      <c r="H37" t="str">
        <f>IF(A37&lt;&gt;"",'04B Silver Field Treatment'!L38,"")</f>
        <v/>
      </c>
      <c r="I37" t="str">
        <f>IF(A37&lt;&gt;"",'04B Silver Field Treatment'!M38,"")</f>
        <v/>
      </c>
      <c r="J37" t="str">
        <f>IF(A37&lt;&gt;"",'04B Silver Field Treatment'!N38,"")</f>
        <v/>
      </c>
      <c r="K37" t="str">
        <f>IF(A37&lt;&gt;"",'04B Silver Field Treatment'!O38,"")</f>
        <v/>
      </c>
      <c r="L37" t="str">
        <f>IF(A37&lt;&gt;"",'04B Silver Field Treatment'!P38,"")</f>
        <v/>
      </c>
      <c r="M37" t="str">
        <f>IF(A37&lt;&gt;"",'04B Silver Field Treatment'!Q38,"")</f>
        <v/>
      </c>
      <c r="N37" t="str">
        <f>IF(A37&lt;&gt;"",'04B Silver Field Treatment'!R38,"")</f>
        <v/>
      </c>
      <c r="O37" t="str">
        <f>IF(A37&lt;&gt;"",'04B Silver Field Treatment'!S38,"")</f>
        <v/>
      </c>
      <c r="P37" t="str">
        <f>IF(A37&lt;&gt;"",'04B Silver Field Treatment'!V38,"")</f>
        <v/>
      </c>
      <c r="Q37" t="str">
        <f>IF(A37&lt;&gt;"",'04B Silver Field Treatment'!W38,"")</f>
        <v/>
      </c>
    </row>
    <row r="38" spans="1:17" x14ac:dyDescent="0.25">
      <c r="A38" t="str">
        <f>IF('04B Silver Field Treatment'!A39&lt;&gt;"",'04B Silver Field Treatment'!A39,"")</f>
        <v/>
      </c>
      <c r="B38" t="str">
        <f>IF(A38&lt;&gt;"",'04B Silver Field Treatment'!B39,"")</f>
        <v/>
      </c>
      <c r="C38" t="str">
        <f>IF(A38&lt;&gt;"",'04B Silver Field Treatment'!C39,"")</f>
        <v/>
      </c>
      <c r="D38" t="str">
        <f>IF(A38&lt;&gt;"",'04B Silver Field Treatment'!#REF!,"")</f>
        <v/>
      </c>
      <c r="E38" t="str">
        <f>IF(A38&lt;&gt;"",'04B Silver Field Treatment'!D39,"")</f>
        <v/>
      </c>
      <c r="F38" t="str">
        <f>IF(A38&lt;&gt;"",'04B Silver Field Treatment'!F39,"")</f>
        <v/>
      </c>
      <c r="G38" t="str">
        <f>IF(A38&lt;&gt;"",'04B Silver Field Treatment'!K39,"")</f>
        <v/>
      </c>
      <c r="H38" t="str">
        <f>IF(A38&lt;&gt;"",'04B Silver Field Treatment'!L39,"")</f>
        <v/>
      </c>
      <c r="I38" t="str">
        <f>IF(A38&lt;&gt;"",'04B Silver Field Treatment'!M39,"")</f>
        <v/>
      </c>
      <c r="J38" t="str">
        <f>IF(A38&lt;&gt;"",'04B Silver Field Treatment'!N39,"")</f>
        <v/>
      </c>
      <c r="K38" t="str">
        <f>IF(A38&lt;&gt;"",'04B Silver Field Treatment'!O39,"")</f>
        <v/>
      </c>
      <c r="L38" t="str">
        <f>IF(A38&lt;&gt;"",'04B Silver Field Treatment'!P39,"")</f>
        <v/>
      </c>
      <c r="M38" t="str">
        <f>IF(A38&lt;&gt;"",'04B Silver Field Treatment'!Q39,"")</f>
        <v/>
      </c>
      <c r="N38" t="str">
        <f>IF(A38&lt;&gt;"",'04B Silver Field Treatment'!R39,"")</f>
        <v/>
      </c>
      <c r="O38" t="str">
        <f>IF(A38&lt;&gt;"",'04B Silver Field Treatment'!S39,"")</f>
        <v/>
      </c>
      <c r="P38" t="str">
        <f>IF(A38&lt;&gt;"",'04B Silver Field Treatment'!V39,"")</f>
        <v/>
      </c>
      <c r="Q38" t="str">
        <f>IF(A38&lt;&gt;"",'04B Silver Field Treatment'!W39,"")</f>
        <v/>
      </c>
    </row>
    <row r="39" spans="1:17" x14ac:dyDescent="0.25">
      <c r="A39" t="str">
        <f>IF('04B Silver Field Treatment'!A40&lt;&gt;"",'04B Silver Field Treatment'!A40,"")</f>
        <v/>
      </c>
      <c r="B39" t="str">
        <f>IF(A39&lt;&gt;"",'04B Silver Field Treatment'!B40,"")</f>
        <v/>
      </c>
      <c r="C39" t="str">
        <f>IF(A39&lt;&gt;"",'04B Silver Field Treatment'!C40,"")</f>
        <v/>
      </c>
      <c r="D39" t="str">
        <f>IF(A39&lt;&gt;"",'04B Silver Field Treatment'!#REF!,"")</f>
        <v/>
      </c>
      <c r="E39" t="str">
        <f>IF(A39&lt;&gt;"",'04B Silver Field Treatment'!D40,"")</f>
        <v/>
      </c>
      <c r="F39" t="str">
        <f>IF(A39&lt;&gt;"",'04B Silver Field Treatment'!F40,"")</f>
        <v/>
      </c>
      <c r="G39" t="str">
        <f>IF(A39&lt;&gt;"",'04B Silver Field Treatment'!K40,"")</f>
        <v/>
      </c>
      <c r="H39" t="str">
        <f>IF(A39&lt;&gt;"",'04B Silver Field Treatment'!L40,"")</f>
        <v/>
      </c>
      <c r="I39" t="str">
        <f>IF(A39&lt;&gt;"",'04B Silver Field Treatment'!M40,"")</f>
        <v/>
      </c>
      <c r="J39" t="str">
        <f>IF(A39&lt;&gt;"",'04B Silver Field Treatment'!N40,"")</f>
        <v/>
      </c>
      <c r="K39" t="str">
        <f>IF(A39&lt;&gt;"",'04B Silver Field Treatment'!O40,"")</f>
        <v/>
      </c>
      <c r="L39" t="str">
        <f>IF(A39&lt;&gt;"",'04B Silver Field Treatment'!P40,"")</f>
        <v/>
      </c>
      <c r="M39" t="str">
        <f>IF(A39&lt;&gt;"",'04B Silver Field Treatment'!Q40,"")</f>
        <v/>
      </c>
      <c r="N39" t="str">
        <f>IF(A39&lt;&gt;"",'04B Silver Field Treatment'!R40,"")</f>
        <v/>
      </c>
      <c r="O39" t="str">
        <f>IF(A39&lt;&gt;"",'04B Silver Field Treatment'!S40,"")</f>
        <v/>
      </c>
      <c r="P39" t="str">
        <f>IF(A39&lt;&gt;"",'04B Silver Field Treatment'!V40,"")</f>
        <v/>
      </c>
      <c r="Q39" t="str">
        <f>IF(A39&lt;&gt;"",'04B Silver Field Treatment'!W40,"")</f>
        <v/>
      </c>
    </row>
    <row r="40" spans="1:17" x14ac:dyDescent="0.25">
      <c r="A40" t="str">
        <f>IF('04B Silver Field Treatment'!A41&lt;&gt;"",'04B Silver Field Treatment'!A41,"")</f>
        <v/>
      </c>
      <c r="B40" t="str">
        <f>IF(A40&lt;&gt;"",'04B Silver Field Treatment'!B41,"")</f>
        <v/>
      </c>
      <c r="C40" t="str">
        <f>IF(A40&lt;&gt;"",'04B Silver Field Treatment'!C41,"")</f>
        <v/>
      </c>
      <c r="D40" t="str">
        <f>IF(A40&lt;&gt;"",'04B Silver Field Treatment'!#REF!,"")</f>
        <v/>
      </c>
      <c r="E40" t="str">
        <f>IF(A40&lt;&gt;"",'04B Silver Field Treatment'!D41,"")</f>
        <v/>
      </c>
      <c r="F40" t="str">
        <f>IF(A40&lt;&gt;"",'04B Silver Field Treatment'!F41,"")</f>
        <v/>
      </c>
      <c r="G40" t="str">
        <f>IF(A40&lt;&gt;"",'04B Silver Field Treatment'!K41,"")</f>
        <v/>
      </c>
      <c r="H40" t="str">
        <f>IF(A40&lt;&gt;"",'04B Silver Field Treatment'!L41,"")</f>
        <v/>
      </c>
      <c r="I40" t="str">
        <f>IF(A40&lt;&gt;"",'04B Silver Field Treatment'!M41,"")</f>
        <v/>
      </c>
      <c r="J40" t="str">
        <f>IF(A40&lt;&gt;"",'04B Silver Field Treatment'!N41,"")</f>
        <v/>
      </c>
      <c r="K40" t="str">
        <f>IF(A40&lt;&gt;"",'04B Silver Field Treatment'!O41,"")</f>
        <v/>
      </c>
      <c r="L40" t="str">
        <f>IF(A40&lt;&gt;"",'04B Silver Field Treatment'!P41,"")</f>
        <v/>
      </c>
      <c r="M40" t="str">
        <f>IF(A40&lt;&gt;"",'04B Silver Field Treatment'!Q41,"")</f>
        <v/>
      </c>
      <c r="N40" t="str">
        <f>IF(A40&lt;&gt;"",'04B Silver Field Treatment'!R41,"")</f>
        <v/>
      </c>
      <c r="O40" t="str">
        <f>IF(A40&lt;&gt;"",'04B Silver Field Treatment'!S41,"")</f>
        <v/>
      </c>
      <c r="P40" t="str">
        <f>IF(A40&lt;&gt;"",'04B Silver Field Treatment'!V41,"")</f>
        <v/>
      </c>
      <c r="Q40" t="str">
        <f>IF(A40&lt;&gt;"",'04B Silver Field Treatment'!W41,"")</f>
        <v/>
      </c>
    </row>
    <row r="41" spans="1:17" x14ac:dyDescent="0.25">
      <c r="A41" t="str">
        <f>IF('04B Silver Field Treatment'!A42&lt;&gt;"",'04B Silver Field Treatment'!A42,"")</f>
        <v/>
      </c>
      <c r="B41" t="str">
        <f>IF(A41&lt;&gt;"",'04B Silver Field Treatment'!B42,"")</f>
        <v/>
      </c>
      <c r="C41" t="str">
        <f>IF(A41&lt;&gt;"",'04B Silver Field Treatment'!C42,"")</f>
        <v/>
      </c>
      <c r="D41" t="str">
        <f>IF(A41&lt;&gt;"",'04B Silver Field Treatment'!#REF!,"")</f>
        <v/>
      </c>
      <c r="E41" t="str">
        <f>IF(A41&lt;&gt;"",'04B Silver Field Treatment'!D42,"")</f>
        <v/>
      </c>
      <c r="F41" t="str">
        <f>IF(A41&lt;&gt;"",'04B Silver Field Treatment'!F42,"")</f>
        <v/>
      </c>
      <c r="G41" t="str">
        <f>IF(A41&lt;&gt;"",'04B Silver Field Treatment'!K42,"")</f>
        <v/>
      </c>
      <c r="H41" t="str">
        <f>IF(A41&lt;&gt;"",'04B Silver Field Treatment'!L42,"")</f>
        <v/>
      </c>
      <c r="I41" t="str">
        <f>IF(A41&lt;&gt;"",'04B Silver Field Treatment'!M42,"")</f>
        <v/>
      </c>
      <c r="J41" t="str">
        <f>IF(A41&lt;&gt;"",'04B Silver Field Treatment'!N42,"")</f>
        <v/>
      </c>
      <c r="K41" t="str">
        <f>IF(A41&lt;&gt;"",'04B Silver Field Treatment'!O42,"")</f>
        <v/>
      </c>
      <c r="L41" t="str">
        <f>IF(A41&lt;&gt;"",'04B Silver Field Treatment'!P42,"")</f>
        <v/>
      </c>
      <c r="M41" t="str">
        <f>IF(A41&lt;&gt;"",'04B Silver Field Treatment'!Q42,"")</f>
        <v/>
      </c>
      <c r="N41" t="str">
        <f>IF(A41&lt;&gt;"",'04B Silver Field Treatment'!R42,"")</f>
        <v/>
      </c>
      <c r="O41" t="str">
        <f>IF(A41&lt;&gt;"",'04B Silver Field Treatment'!S42,"")</f>
        <v/>
      </c>
      <c r="P41" t="str">
        <f>IF(A41&lt;&gt;"",'04B Silver Field Treatment'!V42,"")</f>
        <v/>
      </c>
      <c r="Q41" t="str">
        <f>IF(A41&lt;&gt;"",'04B Silver Field Treatment'!W42,"")</f>
        <v/>
      </c>
    </row>
    <row r="42" spans="1:17" x14ac:dyDescent="0.25">
      <c r="A42" t="str">
        <f>IF('04B Silver Field Treatment'!A43&lt;&gt;"",'04B Silver Field Treatment'!A43,"")</f>
        <v/>
      </c>
      <c r="B42" t="str">
        <f>IF(A42&lt;&gt;"",'04B Silver Field Treatment'!B43,"")</f>
        <v/>
      </c>
      <c r="C42" t="str">
        <f>IF(A42&lt;&gt;"",'04B Silver Field Treatment'!C43,"")</f>
        <v/>
      </c>
      <c r="D42" t="str">
        <f>IF(A42&lt;&gt;"",'04B Silver Field Treatment'!#REF!,"")</f>
        <v/>
      </c>
      <c r="E42" t="str">
        <f>IF(A42&lt;&gt;"",'04B Silver Field Treatment'!D43,"")</f>
        <v/>
      </c>
      <c r="F42" t="str">
        <f>IF(A42&lt;&gt;"",'04B Silver Field Treatment'!F43,"")</f>
        <v/>
      </c>
      <c r="G42" t="str">
        <f>IF(A42&lt;&gt;"",'04B Silver Field Treatment'!K43,"")</f>
        <v/>
      </c>
      <c r="H42" t="str">
        <f>IF(A42&lt;&gt;"",'04B Silver Field Treatment'!L43,"")</f>
        <v/>
      </c>
      <c r="I42" t="str">
        <f>IF(A42&lt;&gt;"",'04B Silver Field Treatment'!M43,"")</f>
        <v/>
      </c>
      <c r="J42" t="str">
        <f>IF(A42&lt;&gt;"",'04B Silver Field Treatment'!N43,"")</f>
        <v/>
      </c>
      <c r="K42" t="str">
        <f>IF(A42&lt;&gt;"",'04B Silver Field Treatment'!O43,"")</f>
        <v/>
      </c>
      <c r="L42" t="str">
        <f>IF(A42&lt;&gt;"",'04B Silver Field Treatment'!P43,"")</f>
        <v/>
      </c>
      <c r="M42" t="str">
        <f>IF(A42&lt;&gt;"",'04B Silver Field Treatment'!Q43,"")</f>
        <v/>
      </c>
      <c r="N42" t="str">
        <f>IF(A42&lt;&gt;"",'04B Silver Field Treatment'!R43,"")</f>
        <v/>
      </c>
      <c r="O42" t="str">
        <f>IF(A42&lt;&gt;"",'04B Silver Field Treatment'!S43,"")</f>
        <v/>
      </c>
      <c r="P42" t="str">
        <f>IF(A42&lt;&gt;"",'04B Silver Field Treatment'!V43,"")</f>
        <v/>
      </c>
      <c r="Q42" t="str">
        <f>IF(A42&lt;&gt;"",'04B Silver Field Treatment'!W43,"")</f>
        <v/>
      </c>
    </row>
    <row r="43" spans="1:17" x14ac:dyDescent="0.25">
      <c r="A43" t="str">
        <f>IF('04B Silver Field Treatment'!A44&lt;&gt;"",'04B Silver Field Treatment'!A44,"")</f>
        <v/>
      </c>
      <c r="B43" t="str">
        <f>IF(A43&lt;&gt;"",'04B Silver Field Treatment'!B44,"")</f>
        <v/>
      </c>
      <c r="C43" t="str">
        <f>IF(A43&lt;&gt;"",'04B Silver Field Treatment'!C44,"")</f>
        <v/>
      </c>
      <c r="D43" t="str">
        <f>IF(A43&lt;&gt;"",'04B Silver Field Treatment'!#REF!,"")</f>
        <v/>
      </c>
      <c r="E43" t="str">
        <f>IF(A43&lt;&gt;"",'04B Silver Field Treatment'!D44,"")</f>
        <v/>
      </c>
      <c r="F43" t="str">
        <f>IF(A43&lt;&gt;"",'04B Silver Field Treatment'!F44,"")</f>
        <v/>
      </c>
      <c r="G43" t="str">
        <f>IF(A43&lt;&gt;"",'04B Silver Field Treatment'!K44,"")</f>
        <v/>
      </c>
      <c r="H43" t="str">
        <f>IF(A43&lt;&gt;"",'04B Silver Field Treatment'!L44,"")</f>
        <v/>
      </c>
      <c r="I43" t="str">
        <f>IF(A43&lt;&gt;"",'04B Silver Field Treatment'!M44,"")</f>
        <v/>
      </c>
      <c r="J43" t="str">
        <f>IF(A43&lt;&gt;"",'04B Silver Field Treatment'!N44,"")</f>
        <v/>
      </c>
      <c r="K43" t="str">
        <f>IF(A43&lt;&gt;"",'04B Silver Field Treatment'!O44,"")</f>
        <v/>
      </c>
      <c r="L43" t="str">
        <f>IF(A43&lt;&gt;"",'04B Silver Field Treatment'!P44,"")</f>
        <v/>
      </c>
      <c r="M43" t="str">
        <f>IF(A43&lt;&gt;"",'04B Silver Field Treatment'!Q44,"")</f>
        <v/>
      </c>
      <c r="N43" t="str">
        <f>IF(A43&lt;&gt;"",'04B Silver Field Treatment'!R44,"")</f>
        <v/>
      </c>
      <c r="O43" t="str">
        <f>IF(A43&lt;&gt;"",'04B Silver Field Treatment'!S44,"")</f>
        <v/>
      </c>
      <c r="P43" t="str">
        <f>IF(A43&lt;&gt;"",'04B Silver Field Treatment'!V44,"")</f>
        <v/>
      </c>
      <c r="Q43" t="str">
        <f>IF(A43&lt;&gt;"",'04B Silver Field Treatment'!W44,"")</f>
        <v/>
      </c>
    </row>
    <row r="44" spans="1:17" x14ac:dyDescent="0.25">
      <c r="A44" t="str">
        <f>IF('04B Silver Field Treatment'!A45&lt;&gt;"",'04B Silver Field Treatment'!A45,"")</f>
        <v/>
      </c>
      <c r="B44" t="str">
        <f>IF(A44&lt;&gt;"",'04B Silver Field Treatment'!B45,"")</f>
        <v/>
      </c>
      <c r="C44" t="str">
        <f>IF(A44&lt;&gt;"",'04B Silver Field Treatment'!C45,"")</f>
        <v/>
      </c>
      <c r="D44" t="str">
        <f>IF(A44&lt;&gt;"",'04B Silver Field Treatment'!#REF!,"")</f>
        <v/>
      </c>
      <c r="E44" t="str">
        <f>IF(A44&lt;&gt;"",'04B Silver Field Treatment'!D45,"")</f>
        <v/>
      </c>
      <c r="F44" t="str">
        <f>IF(A44&lt;&gt;"",'04B Silver Field Treatment'!F45,"")</f>
        <v/>
      </c>
      <c r="G44" t="str">
        <f>IF(A44&lt;&gt;"",'04B Silver Field Treatment'!K45,"")</f>
        <v/>
      </c>
      <c r="H44" t="str">
        <f>IF(A44&lt;&gt;"",'04B Silver Field Treatment'!L45,"")</f>
        <v/>
      </c>
      <c r="I44" t="str">
        <f>IF(A44&lt;&gt;"",'04B Silver Field Treatment'!M45,"")</f>
        <v/>
      </c>
      <c r="J44" t="str">
        <f>IF(A44&lt;&gt;"",'04B Silver Field Treatment'!N45,"")</f>
        <v/>
      </c>
      <c r="K44" t="str">
        <f>IF(A44&lt;&gt;"",'04B Silver Field Treatment'!O45,"")</f>
        <v/>
      </c>
      <c r="L44" t="str">
        <f>IF(A44&lt;&gt;"",'04B Silver Field Treatment'!P45,"")</f>
        <v/>
      </c>
      <c r="M44" t="str">
        <f>IF(A44&lt;&gt;"",'04B Silver Field Treatment'!Q45,"")</f>
        <v/>
      </c>
      <c r="N44" t="str">
        <f>IF(A44&lt;&gt;"",'04B Silver Field Treatment'!R45,"")</f>
        <v/>
      </c>
      <c r="O44" t="str">
        <f>IF(A44&lt;&gt;"",'04B Silver Field Treatment'!S45,"")</f>
        <v/>
      </c>
      <c r="P44" t="str">
        <f>IF(A44&lt;&gt;"",'04B Silver Field Treatment'!V45,"")</f>
        <v/>
      </c>
      <c r="Q44" t="str">
        <f>IF(A44&lt;&gt;"",'04B Silver Field Treatment'!W45,"")</f>
        <v/>
      </c>
    </row>
    <row r="45" spans="1:17" x14ac:dyDescent="0.25">
      <c r="A45" t="str">
        <f>IF('04B Silver Field Treatment'!A46&lt;&gt;"",'04B Silver Field Treatment'!A46,"")</f>
        <v/>
      </c>
      <c r="B45" t="str">
        <f>IF(A45&lt;&gt;"",'04B Silver Field Treatment'!B46,"")</f>
        <v/>
      </c>
      <c r="C45" t="str">
        <f>IF(A45&lt;&gt;"",'04B Silver Field Treatment'!C46,"")</f>
        <v/>
      </c>
      <c r="D45" t="str">
        <f>IF(A45&lt;&gt;"",'04B Silver Field Treatment'!#REF!,"")</f>
        <v/>
      </c>
      <c r="E45" t="str">
        <f>IF(A45&lt;&gt;"",'04B Silver Field Treatment'!D46,"")</f>
        <v/>
      </c>
      <c r="F45" t="str">
        <f>IF(A45&lt;&gt;"",'04B Silver Field Treatment'!F46,"")</f>
        <v/>
      </c>
      <c r="G45" t="str">
        <f>IF(A45&lt;&gt;"",'04B Silver Field Treatment'!K46,"")</f>
        <v/>
      </c>
      <c r="H45" t="str">
        <f>IF(A45&lt;&gt;"",'04B Silver Field Treatment'!L46,"")</f>
        <v/>
      </c>
      <c r="I45" t="str">
        <f>IF(A45&lt;&gt;"",'04B Silver Field Treatment'!M46,"")</f>
        <v/>
      </c>
      <c r="J45" t="str">
        <f>IF(A45&lt;&gt;"",'04B Silver Field Treatment'!N46,"")</f>
        <v/>
      </c>
      <c r="K45" t="str">
        <f>IF(A45&lt;&gt;"",'04B Silver Field Treatment'!O46,"")</f>
        <v/>
      </c>
      <c r="L45" t="str">
        <f>IF(A45&lt;&gt;"",'04B Silver Field Treatment'!P46,"")</f>
        <v/>
      </c>
      <c r="M45" t="str">
        <f>IF(A45&lt;&gt;"",'04B Silver Field Treatment'!Q46,"")</f>
        <v/>
      </c>
      <c r="N45" t="str">
        <f>IF(A45&lt;&gt;"",'04B Silver Field Treatment'!R46,"")</f>
        <v/>
      </c>
      <c r="O45" t="str">
        <f>IF(A45&lt;&gt;"",'04B Silver Field Treatment'!S46,"")</f>
        <v/>
      </c>
      <c r="P45" t="str">
        <f>IF(A45&lt;&gt;"",'04B Silver Field Treatment'!V46,"")</f>
        <v/>
      </c>
      <c r="Q45" t="str">
        <f>IF(A45&lt;&gt;"",'04B Silver Field Treatment'!W46,"")</f>
        <v/>
      </c>
    </row>
    <row r="46" spans="1:17" x14ac:dyDescent="0.25">
      <c r="A46" t="str">
        <f>IF('04B Silver Field Treatment'!A47&lt;&gt;"",'04B Silver Field Treatment'!A47,"")</f>
        <v/>
      </c>
      <c r="B46" t="str">
        <f>IF(A46&lt;&gt;"",'04B Silver Field Treatment'!B47,"")</f>
        <v/>
      </c>
      <c r="C46" t="str">
        <f>IF(A46&lt;&gt;"",'04B Silver Field Treatment'!C47,"")</f>
        <v/>
      </c>
      <c r="D46" t="str">
        <f>IF(A46&lt;&gt;"",'04B Silver Field Treatment'!#REF!,"")</f>
        <v/>
      </c>
      <c r="E46" t="str">
        <f>IF(A46&lt;&gt;"",'04B Silver Field Treatment'!D47,"")</f>
        <v/>
      </c>
      <c r="F46" t="str">
        <f>IF(A46&lt;&gt;"",'04B Silver Field Treatment'!F47,"")</f>
        <v/>
      </c>
      <c r="G46" t="str">
        <f>IF(A46&lt;&gt;"",'04B Silver Field Treatment'!K47,"")</f>
        <v/>
      </c>
      <c r="H46" t="str">
        <f>IF(A46&lt;&gt;"",'04B Silver Field Treatment'!L47,"")</f>
        <v/>
      </c>
      <c r="I46" t="str">
        <f>IF(A46&lt;&gt;"",'04B Silver Field Treatment'!M47,"")</f>
        <v/>
      </c>
      <c r="J46" t="str">
        <f>IF(A46&lt;&gt;"",'04B Silver Field Treatment'!N47,"")</f>
        <v/>
      </c>
      <c r="K46" t="str">
        <f>IF(A46&lt;&gt;"",'04B Silver Field Treatment'!O47,"")</f>
        <v/>
      </c>
      <c r="L46" t="str">
        <f>IF(A46&lt;&gt;"",'04B Silver Field Treatment'!P47,"")</f>
        <v/>
      </c>
      <c r="M46" t="str">
        <f>IF(A46&lt;&gt;"",'04B Silver Field Treatment'!Q47,"")</f>
        <v/>
      </c>
      <c r="N46" t="str">
        <f>IF(A46&lt;&gt;"",'04B Silver Field Treatment'!R47,"")</f>
        <v/>
      </c>
      <c r="O46" t="str">
        <f>IF(A46&lt;&gt;"",'04B Silver Field Treatment'!S47,"")</f>
        <v/>
      </c>
      <c r="P46" t="str">
        <f>IF(A46&lt;&gt;"",'04B Silver Field Treatment'!V47,"")</f>
        <v/>
      </c>
      <c r="Q46" t="str">
        <f>IF(A46&lt;&gt;"",'04B Silver Field Treatment'!W47,"")</f>
        <v/>
      </c>
    </row>
    <row r="47" spans="1:17" x14ac:dyDescent="0.25">
      <c r="A47" t="str">
        <f>IF('04B Silver Field Treatment'!A48&lt;&gt;"",'04B Silver Field Treatment'!A48,"")</f>
        <v/>
      </c>
      <c r="B47" t="str">
        <f>IF(A47&lt;&gt;"",'04B Silver Field Treatment'!B48,"")</f>
        <v/>
      </c>
      <c r="C47" t="str">
        <f>IF(A47&lt;&gt;"",'04B Silver Field Treatment'!C48,"")</f>
        <v/>
      </c>
      <c r="D47" t="str">
        <f>IF(A47&lt;&gt;"",'04B Silver Field Treatment'!#REF!,"")</f>
        <v/>
      </c>
      <c r="E47" t="str">
        <f>IF(A47&lt;&gt;"",'04B Silver Field Treatment'!D48,"")</f>
        <v/>
      </c>
      <c r="F47" t="str">
        <f>IF(A47&lt;&gt;"",'04B Silver Field Treatment'!F48,"")</f>
        <v/>
      </c>
      <c r="G47" t="str">
        <f>IF(A47&lt;&gt;"",'04B Silver Field Treatment'!K48,"")</f>
        <v/>
      </c>
      <c r="H47" t="str">
        <f>IF(A47&lt;&gt;"",'04B Silver Field Treatment'!L48,"")</f>
        <v/>
      </c>
      <c r="I47" t="str">
        <f>IF(A47&lt;&gt;"",'04B Silver Field Treatment'!M48,"")</f>
        <v/>
      </c>
      <c r="J47" t="str">
        <f>IF(A47&lt;&gt;"",'04B Silver Field Treatment'!N48,"")</f>
        <v/>
      </c>
      <c r="K47" t="str">
        <f>IF(A47&lt;&gt;"",'04B Silver Field Treatment'!O48,"")</f>
        <v/>
      </c>
      <c r="L47" t="str">
        <f>IF(A47&lt;&gt;"",'04B Silver Field Treatment'!P48,"")</f>
        <v/>
      </c>
      <c r="M47" t="str">
        <f>IF(A47&lt;&gt;"",'04B Silver Field Treatment'!Q48,"")</f>
        <v/>
      </c>
      <c r="N47" t="str">
        <f>IF(A47&lt;&gt;"",'04B Silver Field Treatment'!R48,"")</f>
        <v/>
      </c>
      <c r="O47" t="str">
        <f>IF(A47&lt;&gt;"",'04B Silver Field Treatment'!S48,"")</f>
        <v/>
      </c>
      <c r="P47" t="str">
        <f>IF(A47&lt;&gt;"",'04B Silver Field Treatment'!V48,"")</f>
        <v/>
      </c>
      <c r="Q47" t="str">
        <f>IF(A47&lt;&gt;"",'04B Silver Field Treatment'!W48,"")</f>
        <v/>
      </c>
    </row>
    <row r="48" spans="1:17" x14ac:dyDescent="0.25">
      <c r="A48" t="str">
        <f>IF('04B Silver Field Treatment'!A49&lt;&gt;"",'04B Silver Field Treatment'!A49,"")</f>
        <v/>
      </c>
      <c r="B48" t="str">
        <f>IF(A48&lt;&gt;"",'04B Silver Field Treatment'!B49,"")</f>
        <v/>
      </c>
      <c r="C48" t="str">
        <f>IF(A48&lt;&gt;"",'04B Silver Field Treatment'!C49,"")</f>
        <v/>
      </c>
      <c r="D48" t="str">
        <f>IF(A48&lt;&gt;"",'04B Silver Field Treatment'!#REF!,"")</f>
        <v/>
      </c>
      <c r="E48" t="str">
        <f>IF(A48&lt;&gt;"",'04B Silver Field Treatment'!D49,"")</f>
        <v/>
      </c>
      <c r="F48" t="str">
        <f>IF(A48&lt;&gt;"",'04B Silver Field Treatment'!F49,"")</f>
        <v/>
      </c>
      <c r="G48" t="str">
        <f>IF(A48&lt;&gt;"",'04B Silver Field Treatment'!K49,"")</f>
        <v/>
      </c>
      <c r="H48" t="str">
        <f>IF(A48&lt;&gt;"",'04B Silver Field Treatment'!L49,"")</f>
        <v/>
      </c>
      <c r="I48" t="str">
        <f>IF(A48&lt;&gt;"",'04B Silver Field Treatment'!M49,"")</f>
        <v/>
      </c>
      <c r="J48" t="str">
        <f>IF(A48&lt;&gt;"",'04B Silver Field Treatment'!N49,"")</f>
        <v/>
      </c>
      <c r="K48" t="str">
        <f>IF(A48&lt;&gt;"",'04B Silver Field Treatment'!O49,"")</f>
        <v/>
      </c>
      <c r="L48" t="str">
        <f>IF(A48&lt;&gt;"",'04B Silver Field Treatment'!P49,"")</f>
        <v/>
      </c>
      <c r="M48" t="str">
        <f>IF(A48&lt;&gt;"",'04B Silver Field Treatment'!Q49,"")</f>
        <v/>
      </c>
      <c r="N48" t="str">
        <f>IF(A48&lt;&gt;"",'04B Silver Field Treatment'!R49,"")</f>
        <v/>
      </c>
      <c r="O48" t="str">
        <f>IF(A48&lt;&gt;"",'04B Silver Field Treatment'!S49,"")</f>
        <v/>
      </c>
      <c r="P48" t="str">
        <f>IF(A48&lt;&gt;"",'04B Silver Field Treatment'!V49,"")</f>
        <v/>
      </c>
      <c r="Q48" t="str">
        <f>IF(A48&lt;&gt;"",'04B Silver Field Treatment'!W49,"")</f>
        <v/>
      </c>
    </row>
    <row r="49" spans="1:17" x14ac:dyDescent="0.25">
      <c r="A49" t="str">
        <f>IF('04B Silver Field Treatment'!A50&lt;&gt;"",'04B Silver Field Treatment'!A50,"")</f>
        <v/>
      </c>
      <c r="B49" t="str">
        <f>IF(A49&lt;&gt;"",'04B Silver Field Treatment'!B50,"")</f>
        <v/>
      </c>
      <c r="C49" t="str">
        <f>IF(A49&lt;&gt;"",'04B Silver Field Treatment'!C50,"")</f>
        <v/>
      </c>
      <c r="D49" t="str">
        <f>IF(A49&lt;&gt;"",'04B Silver Field Treatment'!#REF!,"")</f>
        <v/>
      </c>
      <c r="E49" t="str">
        <f>IF(A49&lt;&gt;"",'04B Silver Field Treatment'!D50,"")</f>
        <v/>
      </c>
      <c r="F49" t="str">
        <f>IF(A49&lt;&gt;"",'04B Silver Field Treatment'!F50,"")</f>
        <v/>
      </c>
      <c r="G49" t="str">
        <f>IF(A49&lt;&gt;"",'04B Silver Field Treatment'!K50,"")</f>
        <v/>
      </c>
      <c r="H49" t="str">
        <f>IF(A49&lt;&gt;"",'04B Silver Field Treatment'!L50,"")</f>
        <v/>
      </c>
      <c r="I49" t="str">
        <f>IF(A49&lt;&gt;"",'04B Silver Field Treatment'!M50,"")</f>
        <v/>
      </c>
      <c r="J49" t="str">
        <f>IF(A49&lt;&gt;"",'04B Silver Field Treatment'!N50,"")</f>
        <v/>
      </c>
      <c r="K49" t="str">
        <f>IF(A49&lt;&gt;"",'04B Silver Field Treatment'!O50,"")</f>
        <v/>
      </c>
      <c r="L49" t="str">
        <f>IF(A49&lt;&gt;"",'04B Silver Field Treatment'!P50,"")</f>
        <v/>
      </c>
      <c r="M49" t="str">
        <f>IF(A49&lt;&gt;"",'04B Silver Field Treatment'!Q50,"")</f>
        <v/>
      </c>
      <c r="N49" t="str">
        <f>IF(A49&lt;&gt;"",'04B Silver Field Treatment'!R50,"")</f>
        <v/>
      </c>
      <c r="O49" t="str">
        <f>IF(A49&lt;&gt;"",'04B Silver Field Treatment'!S50,"")</f>
        <v/>
      </c>
      <c r="P49" t="str">
        <f>IF(A49&lt;&gt;"",'04B Silver Field Treatment'!V50,"")</f>
        <v/>
      </c>
      <c r="Q49" t="str">
        <f>IF(A49&lt;&gt;"",'04B Silver Field Treatment'!W50,"")</f>
        <v/>
      </c>
    </row>
    <row r="50" spans="1:17" x14ac:dyDescent="0.25">
      <c r="A50" t="str">
        <f>IF('04B Silver Field Treatment'!A51&lt;&gt;"",'04B Silver Field Treatment'!A51,"")</f>
        <v/>
      </c>
      <c r="B50" t="str">
        <f>IF(A50&lt;&gt;"",'04B Silver Field Treatment'!B51,"")</f>
        <v/>
      </c>
      <c r="C50" t="str">
        <f>IF(A50&lt;&gt;"",'04B Silver Field Treatment'!C51,"")</f>
        <v/>
      </c>
      <c r="D50" t="str">
        <f>IF(A50&lt;&gt;"",'04B Silver Field Treatment'!#REF!,"")</f>
        <v/>
      </c>
      <c r="E50" t="str">
        <f>IF(A50&lt;&gt;"",'04B Silver Field Treatment'!D51,"")</f>
        <v/>
      </c>
      <c r="F50" t="str">
        <f>IF(A50&lt;&gt;"",'04B Silver Field Treatment'!F51,"")</f>
        <v/>
      </c>
      <c r="G50" t="str">
        <f>IF(A50&lt;&gt;"",'04B Silver Field Treatment'!K51,"")</f>
        <v/>
      </c>
      <c r="H50" t="str">
        <f>IF(A50&lt;&gt;"",'04B Silver Field Treatment'!L51,"")</f>
        <v/>
      </c>
      <c r="I50" t="str">
        <f>IF(A50&lt;&gt;"",'04B Silver Field Treatment'!M51,"")</f>
        <v/>
      </c>
      <c r="J50" t="str">
        <f>IF(A50&lt;&gt;"",'04B Silver Field Treatment'!N51,"")</f>
        <v/>
      </c>
      <c r="K50" t="str">
        <f>IF(A50&lt;&gt;"",'04B Silver Field Treatment'!O51,"")</f>
        <v/>
      </c>
      <c r="L50" t="str">
        <f>IF(A50&lt;&gt;"",'04B Silver Field Treatment'!P51,"")</f>
        <v/>
      </c>
      <c r="M50" t="str">
        <f>IF(A50&lt;&gt;"",'04B Silver Field Treatment'!Q51,"")</f>
        <v/>
      </c>
      <c r="N50" t="str">
        <f>IF(A50&lt;&gt;"",'04B Silver Field Treatment'!R51,"")</f>
        <v/>
      </c>
      <c r="O50" t="str">
        <f>IF(A50&lt;&gt;"",'04B Silver Field Treatment'!S51,"")</f>
        <v/>
      </c>
      <c r="P50" t="str">
        <f>IF(A50&lt;&gt;"",'04B Silver Field Treatment'!V51,"")</f>
        <v/>
      </c>
      <c r="Q50" t="str">
        <f>IF(A50&lt;&gt;"",'04B Silver Field Treatment'!W51,"")</f>
        <v/>
      </c>
    </row>
    <row r="51" spans="1:17" x14ac:dyDescent="0.25">
      <c r="A51" t="str">
        <f>IF('04B Silver Field Treatment'!A52&lt;&gt;"",'04B Silver Field Treatment'!A52,"")</f>
        <v/>
      </c>
      <c r="B51" t="str">
        <f>IF(A51&lt;&gt;"",'04B Silver Field Treatment'!B52,"")</f>
        <v/>
      </c>
      <c r="C51" t="str">
        <f>IF(A51&lt;&gt;"",'04B Silver Field Treatment'!C52,"")</f>
        <v/>
      </c>
      <c r="D51" t="str">
        <f>IF(A51&lt;&gt;"",'04B Silver Field Treatment'!#REF!,"")</f>
        <v/>
      </c>
      <c r="E51" t="str">
        <f>IF(A51&lt;&gt;"",'04B Silver Field Treatment'!D52,"")</f>
        <v/>
      </c>
      <c r="F51" t="str">
        <f>IF(A51&lt;&gt;"",'04B Silver Field Treatment'!F52,"")</f>
        <v/>
      </c>
      <c r="G51" t="str">
        <f>IF(A51&lt;&gt;"",'04B Silver Field Treatment'!K52,"")</f>
        <v/>
      </c>
      <c r="H51" t="str">
        <f>IF(A51&lt;&gt;"",'04B Silver Field Treatment'!L52,"")</f>
        <v/>
      </c>
      <c r="I51" t="str">
        <f>IF(A51&lt;&gt;"",'04B Silver Field Treatment'!M52,"")</f>
        <v/>
      </c>
      <c r="J51" t="str">
        <f>IF(A51&lt;&gt;"",'04B Silver Field Treatment'!N52,"")</f>
        <v/>
      </c>
      <c r="K51" t="str">
        <f>IF(A51&lt;&gt;"",'04B Silver Field Treatment'!O52,"")</f>
        <v/>
      </c>
      <c r="L51" t="str">
        <f>IF(A51&lt;&gt;"",'04B Silver Field Treatment'!P52,"")</f>
        <v/>
      </c>
      <c r="M51" t="str">
        <f>IF(A51&lt;&gt;"",'04B Silver Field Treatment'!Q52,"")</f>
        <v/>
      </c>
      <c r="N51" t="str">
        <f>IF(A51&lt;&gt;"",'04B Silver Field Treatment'!R52,"")</f>
        <v/>
      </c>
      <c r="O51" t="str">
        <f>IF(A51&lt;&gt;"",'04B Silver Field Treatment'!S52,"")</f>
        <v/>
      </c>
      <c r="P51" t="str">
        <f>IF(A51&lt;&gt;"",'04B Silver Field Treatment'!V52,"")</f>
        <v/>
      </c>
      <c r="Q51" t="str">
        <f>IF(A51&lt;&gt;"",'04B Silver Field Treatment'!W52,"")</f>
        <v/>
      </c>
    </row>
    <row r="52" spans="1:17" x14ac:dyDescent="0.25">
      <c r="A52" t="str">
        <f>IF('04B Silver Field Treatment'!A53&lt;&gt;"",'04B Silver Field Treatment'!A53,"")</f>
        <v/>
      </c>
      <c r="B52" t="str">
        <f>IF(A52&lt;&gt;"",'04B Silver Field Treatment'!B53,"")</f>
        <v/>
      </c>
      <c r="C52" t="str">
        <f>IF(A52&lt;&gt;"",'04B Silver Field Treatment'!C53,"")</f>
        <v/>
      </c>
      <c r="D52" t="str">
        <f>IF(A52&lt;&gt;"",'04B Silver Field Treatment'!#REF!,"")</f>
        <v/>
      </c>
      <c r="E52" t="str">
        <f>IF(A52&lt;&gt;"",'04B Silver Field Treatment'!D53,"")</f>
        <v/>
      </c>
      <c r="F52" t="str">
        <f>IF(A52&lt;&gt;"",'04B Silver Field Treatment'!F53,"")</f>
        <v/>
      </c>
      <c r="G52" t="str">
        <f>IF(A52&lt;&gt;"",'04B Silver Field Treatment'!K53,"")</f>
        <v/>
      </c>
      <c r="H52" t="str">
        <f>IF(A52&lt;&gt;"",'04B Silver Field Treatment'!L53,"")</f>
        <v/>
      </c>
      <c r="I52" t="str">
        <f>IF(A52&lt;&gt;"",'04B Silver Field Treatment'!M53,"")</f>
        <v/>
      </c>
      <c r="J52" t="str">
        <f>IF(A52&lt;&gt;"",'04B Silver Field Treatment'!N53,"")</f>
        <v/>
      </c>
      <c r="K52" t="str">
        <f>IF(A52&lt;&gt;"",'04B Silver Field Treatment'!O53,"")</f>
        <v/>
      </c>
      <c r="L52" t="str">
        <f>IF(A52&lt;&gt;"",'04B Silver Field Treatment'!P53,"")</f>
        <v/>
      </c>
      <c r="M52" t="str">
        <f>IF(A52&lt;&gt;"",'04B Silver Field Treatment'!Q53,"")</f>
        <v/>
      </c>
      <c r="N52" t="str">
        <f>IF(A52&lt;&gt;"",'04B Silver Field Treatment'!R53,"")</f>
        <v/>
      </c>
      <c r="O52" t="str">
        <f>IF(A52&lt;&gt;"",'04B Silver Field Treatment'!S53,"")</f>
        <v/>
      </c>
      <c r="P52" t="str">
        <f>IF(A52&lt;&gt;"",'04B Silver Field Treatment'!V53,"")</f>
        <v/>
      </c>
      <c r="Q52" t="str">
        <f>IF(A52&lt;&gt;"",'04B Silver Field Treatment'!W53,"")</f>
        <v/>
      </c>
    </row>
    <row r="53" spans="1:17" x14ac:dyDescent="0.25">
      <c r="A53" t="str">
        <f>IF('04B Silver Field Treatment'!A54&lt;&gt;"",'04B Silver Field Treatment'!A54,"")</f>
        <v/>
      </c>
      <c r="B53" t="str">
        <f>IF(A53&lt;&gt;"",'04B Silver Field Treatment'!B54,"")</f>
        <v/>
      </c>
      <c r="C53" t="str">
        <f>IF(A53&lt;&gt;"",'04B Silver Field Treatment'!C54,"")</f>
        <v/>
      </c>
      <c r="D53" t="str">
        <f>IF(A53&lt;&gt;"",'04B Silver Field Treatment'!#REF!,"")</f>
        <v/>
      </c>
      <c r="E53" t="str">
        <f>IF(A53&lt;&gt;"",'04B Silver Field Treatment'!D54,"")</f>
        <v/>
      </c>
      <c r="F53" t="str">
        <f>IF(A53&lt;&gt;"",'04B Silver Field Treatment'!F54,"")</f>
        <v/>
      </c>
      <c r="G53" t="str">
        <f>IF(A53&lt;&gt;"",'04B Silver Field Treatment'!K54,"")</f>
        <v/>
      </c>
      <c r="H53" t="str">
        <f>IF(A53&lt;&gt;"",'04B Silver Field Treatment'!L54,"")</f>
        <v/>
      </c>
      <c r="I53" t="str">
        <f>IF(A53&lt;&gt;"",'04B Silver Field Treatment'!M54,"")</f>
        <v/>
      </c>
      <c r="J53" t="str">
        <f>IF(A53&lt;&gt;"",'04B Silver Field Treatment'!N54,"")</f>
        <v/>
      </c>
      <c r="K53" t="str">
        <f>IF(A53&lt;&gt;"",'04B Silver Field Treatment'!O54,"")</f>
        <v/>
      </c>
      <c r="L53" t="str">
        <f>IF(A53&lt;&gt;"",'04B Silver Field Treatment'!P54,"")</f>
        <v/>
      </c>
      <c r="M53" t="str">
        <f>IF(A53&lt;&gt;"",'04B Silver Field Treatment'!Q54,"")</f>
        <v/>
      </c>
      <c r="N53" t="str">
        <f>IF(A53&lt;&gt;"",'04B Silver Field Treatment'!R54,"")</f>
        <v/>
      </c>
      <c r="O53" t="str">
        <f>IF(A53&lt;&gt;"",'04B Silver Field Treatment'!S54,"")</f>
        <v/>
      </c>
      <c r="P53" t="str">
        <f>IF(A53&lt;&gt;"",'04B Silver Field Treatment'!V54,"")</f>
        <v/>
      </c>
      <c r="Q53" t="str">
        <f>IF(A53&lt;&gt;"",'04B Silver Field Treatment'!W54,"")</f>
        <v/>
      </c>
    </row>
    <row r="54" spans="1:17" x14ac:dyDescent="0.25">
      <c r="A54" t="str">
        <f>IF('04B Silver Field Treatment'!A55&lt;&gt;"",'04B Silver Field Treatment'!A55,"")</f>
        <v/>
      </c>
      <c r="B54" t="str">
        <f>IF(A54&lt;&gt;"",'04B Silver Field Treatment'!B55,"")</f>
        <v/>
      </c>
      <c r="C54" t="str">
        <f>IF(A54&lt;&gt;"",'04B Silver Field Treatment'!C55,"")</f>
        <v/>
      </c>
      <c r="D54" t="str">
        <f>IF(A54&lt;&gt;"",'04B Silver Field Treatment'!#REF!,"")</f>
        <v/>
      </c>
      <c r="E54" t="str">
        <f>IF(A54&lt;&gt;"",'04B Silver Field Treatment'!D55,"")</f>
        <v/>
      </c>
      <c r="F54" t="str">
        <f>IF(A54&lt;&gt;"",'04B Silver Field Treatment'!F55,"")</f>
        <v/>
      </c>
      <c r="G54" t="str">
        <f>IF(A54&lt;&gt;"",'04B Silver Field Treatment'!K55,"")</f>
        <v/>
      </c>
      <c r="H54" t="str">
        <f>IF(A54&lt;&gt;"",'04B Silver Field Treatment'!L55,"")</f>
        <v/>
      </c>
      <c r="I54" t="str">
        <f>IF(A54&lt;&gt;"",'04B Silver Field Treatment'!M55,"")</f>
        <v/>
      </c>
      <c r="J54" t="str">
        <f>IF(A54&lt;&gt;"",'04B Silver Field Treatment'!N55,"")</f>
        <v/>
      </c>
      <c r="K54" t="str">
        <f>IF(A54&lt;&gt;"",'04B Silver Field Treatment'!O55,"")</f>
        <v/>
      </c>
      <c r="L54" t="str">
        <f>IF(A54&lt;&gt;"",'04B Silver Field Treatment'!P55,"")</f>
        <v/>
      </c>
      <c r="M54" t="str">
        <f>IF(A54&lt;&gt;"",'04B Silver Field Treatment'!Q55,"")</f>
        <v/>
      </c>
      <c r="N54" t="str">
        <f>IF(A54&lt;&gt;"",'04B Silver Field Treatment'!R55,"")</f>
        <v/>
      </c>
      <c r="O54" t="str">
        <f>IF(A54&lt;&gt;"",'04B Silver Field Treatment'!S55,"")</f>
        <v/>
      </c>
      <c r="P54" t="str">
        <f>IF(A54&lt;&gt;"",'04B Silver Field Treatment'!V55,"")</f>
        <v/>
      </c>
      <c r="Q54" t="str">
        <f>IF(A54&lt;&gt;"",'04B Silver Field Treatment'!W55,"")</f>
        <v/>
      </c>
    </row>
    <row r="55" spans="1:17" x14ac:dyDescent="0.25">
      <c r="A55" t="str">
        <f>IF('04B Silver Field Treatment'!A56&lt;&gt;"",'04B Silver Field Treatment'!A56,"")</f>
        <v/>
      </c>
      <c r="B55" t="str">
        <f>IF(A55&lt;&gt;"",'04B Silver Field Treatment'!B56,"")</f>
        <v/>
      </c>
      <c r="C55" t="str">
        <f>IF(A55&lt;&gt;"",'04B Silver Field Treatment'!C56,"")</f>
        <v/>
      </c>
      <c r="D55" t="str">
        <f>IF(A55&lt;&gt;"",'04B Silver Field Treatment'!#REF!,"")</f>
        <v/>
      </c>
      <c r="E55" t="str">
        <f>IF(A55&lt;&gt;"",'04B Silver Field Treatment'!D56,"")</f>
        <v/>
      </c>
      <c r="F55" t="str">
        <f>IF(A55&lt;&gt;"",'04B Silver Field Treatment'!F56,"")</f>
        <v/>
      </c>
      <c r="G55" t="str">
        <f>IF(A55&lt;&gt;"",'04B Silver Field Treatment'!K56,"")</f>
        <v/>
      </c>
      <c r="H55" t="str">
        <f>IF(A55&lt;&gt;"",'04B Silver Field Treatment'!L56,"")</f>
        <v/>
      </c>
      <c r="I55" t="str">
        <f>IF(A55&lt;&gt;"",'04B Silver Field Treatment'!M56,"")</f>
        <v/>
      </c>
      <c r="J55" t="str">
        <f>IF(A55&lt;&gt;"",'04B Silver Field Treatment'!N56,"")</f>
        <v/>
      </c>
      <c r="K55" t="str">
        <f>IF(A55&lt;&gt;"",'04B Silver Field Treatment'!O56,"")</f>
        <v/>
      </c>
      <c r="L55" t="str">
        <f>IF(A55&lt;&gt;"",'04B Silver Field Treatment'!P56,"")</f>
        <v/>
      </c>
      <c r="M55" t="str">
        <f>IF(A55&lt;&gt;"",'04B Silver Field Treatment'!Q56,"")</f>
        <v/>
      </c>
      <c r="N55" t="str">
        <f>IF(A55&lt;&gt;"",'04B Silver Field Treatment'!R56,"")</f>
        <v/>
      </c>
      <c r="O55" t="str">
        <f>IF(A55&lt;&gt;"",'04B Silver Field Treatment'!S56,"")</f>
        <v/>
      </c>
      <c r="P55" t="str">
        <f>IF(A55&lt;&gt;"",'04B Silver Field Treatment'!V56,"")</f>
        <v/>
      </c>
      <c r="Q55" t="str">
        <f>IF(A55&lt;&gt;"",'04B Silver Field Treatment'!W56,"")</f>
        <v/>
      </c>
    </row>
    <row r="56" spans="1:17" x14ac:dyDescent="0.25">
      <c r="A56" t="str">
        <f>IF('04B Silver Field Treatment'!A57&lt;&gt;"",'04B Silver Field Treatment'!A57,"")</f>
        <v/>
      </c>
      <c r="B56" t="str">
        <f>IF(A56&lt;&gt;"",'04B Silver Field Treatment'!B57,"")</f>
        <v/>
      </c>
      <c r="C56" t="str">
        <f>IF(A56&lt;&gt;"",'04B Silver Field Treatment'!C57,"")</f>
        <v/>
      </c>
      <c r="D56" t="str">
        <f>IF(A56&lt;&gt;"",'04B Silver Field Treatment'!#REF!,"")</f>
        <v/>
      </c>
      <c r="E56" t="str">
        <f>IF(A56&lt;&gt;"",'04B Silver Field Treatment'!D57,"")</f>
        <v/>
      </c>
      <c r="F56" t="str">
        <f>IF(A56&lt;&gt;"",'04B Silver Field Treatment'!F57,"")</f>
        <v/>
      </c>
      <c r="G56" t="str">
        <f>IF(A56&lt;&gt;"",'04B Silver Field Treatment'!K57,"")</f>
        <v/>
      </c>
      <c r="H56" t="str">
        <f>IF(A56&lt;&gt;"",'04B Silver Field Treatment'!L57,"")</f>
        <v/>
      </c>
      <c r="I56" t="str">
        <f>IF(A56&lt;&gt;"",'04B Silver Field Treatment'!M57,"")</f>
        <v/>
      </c>
      <c r="J56" t="str">
        <f>IF(A56&lt;&gt;"",'04B Silver Field Treatment'!N57,"")</f>
        <v/>
      </c>
      <c r="K56" t="str">
        <f>IF(A56&lt;&gt;"",'04B Silver Field Treatment'!O57,"")</f>
        <v/>
      </c>
      <c r="L56" t="str">
        <f>IF(A56&lt;&gt;"",'04B Silver Field Treatment'!P57,"")</f>
        <v/>
      </c>
      <c r="M56" t="str">
        <f>IF(A56&lt;&gt;"",'04B Silver Field Treatment'!Q57,"")</f>
        <v/>
      </c>
      <c r="N56" t="str">
        <f>IF(A56&lt;&gt;"",'04B Silver Field Treatment'!R57,"")</f>
        <v/>
      </c>
      <c r="O56" t="str">
        <f>IF(A56&lt;&gt;"",'04B Silver Field Treatment'!S57,"")</f>
        <v/>
      </c>
      <c r="P56" t="str">
        <f>IF(A56&lt;&gt;"",'04B Silver Field Treatment'!V57,"")</f>
        <v/>
      </c>
      <c r="Q56" t="str">
        <f>IF(A56&lt;&gt;"",'04B Silver Field Treatment'!W57,"")</f>
        <v/>
      </c>
    </row>
    <row r="57" spans="1:17" x14ac:dyDescent="0.25">
      <c r="A57" t="str">
        <f>IF('04B Silver Field Treatment'!A58&lt;&gt;"",'04B Silver Field Treatment'!A58,"")</f>
        <v/>
      </c>
      <c r="B57" t="str">
        <f>IF(A57&lt;&gt;"",'04B Silver Field Treatment'!B58,"")</f>
        <v/>
      </c>
      <c r="C57" t="str">
        <f>IF(A57&lt;&gt;"",'04B Silver Field Treatment'!C58,"")</f>
        <v/>
      </c>
      <c r="D57" t="str">
        <f>IF(A57&lt;&gt;"",'04B Silver Field Treatment'!#REF!,"")</f>
        <v/>
      </c>
      <c r="E57" t="str">
        <f>IF(A57&lt;&gt;"",'04B Silver Field Treatment'!D58,"")</f>
        <v/>
      </c>
      <c r="F57" t="str">
        <f>IF(A57&lt;&gt;"",'04B Silver Field Treatment'!F58,"")</f>
        <v/>
      </c>
      <c r="G57" t="str">
        <f>IF(A57&lt;&gt;"",'04B Silver Field Treatment'!K58,"")</f>
        <v/>
      </c>
      <c r="H57" t="str">
        <f>IF(A57&lt;&gt;"",'04B Silver Field Treatment'!L58,"")</f>
        <v/>
      </c>
      <c r="I57" t="str">
        <f>IF(A57&lt;&gt;"",'04B Silver Field Treatment'!M58,"")</f>
        <v/>
      </c>
      <c r="J57" t="str">
        <f>IF(A57&lt;&gt;"",'04B Silver Field Treatment'!N58,"")</f>
        <v/>
      </c>
      <c r="K57" t="str">
        <f>IF(A57&lt;&gt;"",'04B Silver Field Treatment'!O58,"")</f>
        <v/>
      </c>
      <c r="L57" t="str">
        <f>IF(A57&lt;&gt;"",'04B Silver Field Treatment'!P58,"")</f>
        <v/>
      </c>
      <c r="M57" t="str">
        <f>IF(A57&lt;&gt;"",'04B Silver Field Treatment'!Q58,"")</f>
        <v/>
      </c>
      <c r="N57" t="str">
        <f>IF(A57&lt;&gt;"",'04B Silver Field Treatment'!R58,"")</f>
        <v/>
      </c>
      <c r="O57" t="str">
        <f>IF(A57&lt;&gt;"",'04B Silver Field Treatment'!S58,"")</f>
        <v/>
      </c>
      <c r="P57" t="str">
        <f>IF(A57&lt;&gt;"",'04B Silver Field Treatment'!V58,"")</f>
        <v/>
      </c>
      <c r="Q57" t="str">
        <f>IF(A57&lt;&gt;"",'04B Silver Field Treatment'!W58,"")</f>
        <v/>
      </c>
    </row>
    <row r="58" spans="1:17" x14ac:dyDescent="0.25">
      <c r="A58" t="str">
        <f>IF('04B Silver Field Treatment'!A59&lt;&gt;"",'04B Silver Field Treatment'!A59,"")</f>
        <v/>
      </c>
      <c r="B58" t="str">
        <f>IF(A58&lt;&gt;"",'04B Silver Field Treatment'!B59,"")</f>
        <v/>
      </c>
      <c r="C58" t="str">
        <f>IF(A58&lt;&gt;"",'04B Silver Field Treatment'!C59,"")</f>
        <v/>
      </c>
      <c r="D58" t="str">
        <f>IF(A58&lt;&gt;"",'04B Silver Field Treatment'!#REF!,"")</f>
        <v/>
      </c>
      <c r="E58" t="str">
        <f>IF(A58&lt;&gt;"",'04B Silver Field Treatment'!D59,"")</f>
        <v/>
      </c>
      <c r="F58" t="str">
        <f>IF(A58&lt;&gt;"",'04B Silver Field Treatment'!F59,"")</f>
        <v/>
      </c>
      <c r="G58" t="str">
        <f>IF(A58&lt;&gt;"",'04B Silver Field Treatment'!K59,"")</f>
        <v/>
      </c>
      <c r="H58" t="str">
        <f>IF(A58&lt;&gt;"",'04B Silver Field Treatment'!L59,"")</f>
        <v/>
      </c>
      <c r="I58" t="str">
        <f>IF(A58&lt;&gt;"",'04B Silver Field Treatment'!M59,"")</f>
        <v/>
      </c>
      <c r="J58" t="str">
        <f>IF(A58&lt;&gt;"",'04B Silver Field Treatment'!N59,"")</f>
        <v/>
      </c>
      <c r="K58" t="str">
        <f>IF(A58&lt;&gt;"",'04B Silver Field Treatment'!O59,"")</f>
        <v/>
      </c>
      <c r="L58" t="str">
        <f>IF(A58&lt;&gt;"",'04B Silver Field Treatment'!P59,"")</f>
        <v/>
      </c>
      <c r="M58" t="str">
        <f>IF(A58&lt;&gt;"",'04B Silver Field Treatment'!Q59,"")</f>
        <v/>
      </c>
      <c r="N58" t="str">
        <f>IF(A58&lt;&gt;"",'04B Silver Field Treatment'!R59,"")</f>
        <v/>
      </c>
      <c r="O58" t="str">
        <f>IF(A58&lt;&gt;"",'04B Silver Field Treatment'!S59,"")</f>
        <v/>
      </c>
      <c r="P58" t="str">
        <f>IF(A58&lt;&gt;"",'04B Silver Field Treatment'!V59,"")</f>
        <v/>
      </c>
      <c r="Q58" t="str">
        <f>IF(A58&lt;&gt;"",'04B Silver Field Treatment'!W59,"")</f>
        <v/>
      </c>
    </row>
    <row r="59" spans="1:17" x14ac:dyDescent="0.25">
      <c r="A59" t="str">
        <f>IF('04B Silver Field Treatment'!A60&lt;&gt;"",'04B Silver Field Treatment'!A60,"")</f>
        <v/>
      </c>
      <c r="B59" t="str">
        <f>IF(A59&lt;&gt;"",'04B Silver Field Treatment'!B60,"")</f>
        <v/>
      </c>
      <c r="C59" t="str">
        <f>IF(A59&lt;&gt;"",'04B Silver Field Treatment'!C60,"")</f>
        <v/>
      </c>
      <c r="D59" t="str">
        <f>IF(A59&lt;&gt;"",'04B Silver Field Treatment'!#REF!,"")</f>
        <v/>
      </c>
      <c r="E59" t="str">
        <f>IF(A59&lt;&gt;"",'04B Silver Field Treatment'!D60,"")</f>
        <v/>
      </c>
      <c r="F59" t="str">
        <f>IF(A59&lt;&gt;"",'04B Silver Field Treatment'!F60,"")</f>
        <v/>
      </c>
      <c r="G59" t="str">
        <f>IF(A59&lt;&gt;"",'04B Silver Field Treatment'!K60,"")</f>
        <v/>
      </c>
      <c r="H59" t="str">
        <f>IF(A59&lt;&gt;"",'04B Silver Field Treatment'!L60,"")</f>
        <v/>
      </c>
      <c r="I59" t="str">
        <f>IF(A59&lt;&gt;"",'04B Silver Field Treatment'!M60,"")</f>
        <v/>
      </c>
      <c r="J59" t="str">
        <f>IF(A59&lt;&gt;"",'04B Silver Field Treatment'!N60,"")</f>
        <v/>
      </c>
      <c r="K59" t="str">
        <f>IF(A59&lt;&gt;"",'04B Silver Field Treatment'!O60,"")</f>
        <v/>
      </c>
      <c r="L59" t="str">
        <f>IF(A59&lt;&gt;"",'04B Silver Field Treatment'!P60,"")</f>
        <v/>
      </c>
      <c r="M59" t="str">
        <f>IF(A59&lt;&gt;"",'04B Silver Field Treatment'!Q60,"")</f>
        <v/>
      </c>
      <c r="N59" t="str">
        <f>IF(A59&lt;&gt;"",'04B Silver Field Treatment'!R60,"")</f>
        <v/>
      </c>
      <c r="O59" t="str">
        <f>IF(A59&lt;&gt;"",'04B Silver Field Treatment'!S60,"")</f>
        <v/>
      </c>
      <c r="P59" t="str">
        <f>IF(A59&lt;&gt;"",'04B Silver Field Treatment'!V60,"")</f>
        <v/>
      </c>
      <c r="Q59" t="str">
        <f>IF(A59&lt;&gt;"",'04B Silver Field Treatment'!W60,"")</f>
        <v/>
      </c>
    </row>
    <row r="60" spans="1:17" x14ac:dyDescent="0.25">
      <c r="A60" t="str">
        <f>IF('04B Silver Field Treatment'!A61&lt;&gt;"",'04B Silver Field Treatment'!A61,"")</f>
        <v/>
      </c>
      <c r="B60" t="str">
        <f>IF(A60&lt;&gt;"",'04B Silver Field Treatment'!B61,"")</f>
        <v/>
      </c>
      <c r="C60" t="str">
        <f>IF(A60&lt;&gt;"",'04B Silver Field Treatment'!C61,"")</f>
        <v/>
      </c>
      <c r="D60" t="str">
        <f>IF(A60&lt;&gt;"",'04B Silver Field Treatment'!#REF!,"")</f>
        <v/>
      </c>
      <c r="E60" t="str">
        <f>IF(A60&lt;&gt;"",'04B Silver Field Treatment'!D61,"")</f>
        <v/>
      </c>
      <c r="F60" t="str">
        <f>IF(A60&lt;&gt;"",'04B Silver Field Treatment'!F61,"")</f>
        <v/>
      </c>
      <c r="G60" t="str">
        <f>IF(A60&lt;&gt;"",'04B Silver Field Treatment'!K61,"")</f>
        <v/>
      </c>
      <c r="H60" t="str">
        <f>IF(A60&lt;&gt;"",'04B Silver Field Treatment'!L61,"")</f>
        <v/>
      </c>
      <c r="I60" t="str">
        <f>IF(A60&lt;&gt;"",'04B Silver Field Treatment'!M61,"")</f>
        <v/>
      </c>
      <c r="J60" t="str">
        <f>IF(A60&lt;&gt;"",'04B Silver Field Treatment'!N61,"")</f>
        <v/>
      </c>
      <c r="K60" t="str">
        <f>IF(A60&lt;&gt;"",'04B Silver Field Treatment'!O61,"")</f>
        <v/>
      </c>
      <c r="L60" t="str">
        <f>IF(A60&lt;&gt;"",'04B Silver Field Treatment'!P61,"")</f>
        <v/>
      </c>
      <c r="M60" t="str">
        <f>IF(A60&lt;&gt;"",'04B Silver Field Treatment'!Q61,"")</f>
        <v/>
      </c>
      <c r="N60" t="str">
        <f>IF(A60&lt;&gt;"",'04B Silver Field Treatment'!R61,"")</f>
        <v/>
      </c>
      <c r="O60" t="str">
        <f>IF(A60&lt;&gt;"",'04B Silver Field Treatment'!S61,"")</f>
        <v/>
      </c>
      <c r="P60" t="str">
        <f>IF(A60&lt;&gt;"",'04B Silver Field Treatment'!V61,"")</f>
        <v/>
      </c>
      <c r="Q60" t="str">
        <f>IF(A60&lt;&gt;"",'04B Silver Field Treatment'!W61,"")</f>
        <v/>
      </c>
    </row>
    <row r="61" spans="1:17" x14ac:dyDescent="0.25">
      <c r="A61" t="str">
        <f>IF('04B Silver Field Treatment'!A62&lt;&gt;"",'04B Silver Field Treatment'!A62,"")</f>
        <v/>
      </c>
      <c r="B61" t="str">
        <f>IF(A61&lt;&gt;"",'04B Silver Field Treatment'!B62,"")</f>
        <v/>
      </c>
      <c r="C61" t="str">
        <f>IF(A61&lt;&gt;"",'04B Silver Field Treatment'!C62,"")</f>
        <v/>
      </c>
      <c r="D61" t="str">
        <f>IF(A61&lt;&gt;"",'04B Silver Field Treatment'!#REF!,"")</f>
        <v/>
      </c>
      <c r="E61" t="str">
        <f>IF(A61&lt;&gt;"",'04B Silver Field Treatment'!D62,"")</f>
        <v/>
      </c>
      <c r="F61" t="str">
        <f>IF(A61&lt;&gt;"",'04B Silver Field Treatment'!F62,"")</f>
        <v/>
      </c>
      <c r="G61" t="str">
        <f>IF(A61&lt;&gt;"",'04B Silver Field Treatment'!K62,"")</f>
        <v/>
      </c>
      <c r="H61" t="str">
        <f>IF(A61&lt;&gt;"",'04B Silver Field Treatment'!L62,"")</f>
        <v/>
      </c>
      <c r="I61" t="str">
        <f>IF(A61&lt;&gt;"",'04B Silver Field Treatment'!M62,"")</f>
        <v/>
      </c>
      <c r="J61" t="str">
        <f>IF(A61&lt;&gt;"",'04B Silver Field Treatment'!N62,"")</f>
        <v/>
      </c>
      <c r="K61" t="str">
        <f>IF(A61&lt;&gt;"",'04B Silver Field Treatment'!O62,"")</f>
        <v/>
      </c>
      <c r="L61" t="str">
        <f>IF(A61&lt;&gt;"",'04B Silver Field Treatment'!P62,"")</f>
        <v/>
      </c>
      <c r="M61" t="str">
        <f>IF(A61&lt;&gt;"",'04B Silver Field Treatment'!Q62,"")</f>
        <v/>
      </c>
      <c r="N61" t="str">
        <f>IF(A61&lt;&gt;"",'04B Silver Field Treatment'!R62,"")</f>
        <v/>
      </c>
      <c r="O61" t="str">
        <f>IF(A61&lt;&gt;"",'04B Silver Field Treatment'!S62,"")</f>
        <v/>
      </c>
      <c r="P61" t="str">
        <f>IF(A61&lt;&gt;"",'04B Silver Field Treatment'!V62,"")</f>
        <v/>
      </c>
      <c r="Q61" t="str">
        <f>IF(A61&lt;&gt;"",'04B Silver Field Treatment'!W62,"")</f>
        <v/>
      </c>
    </row>
    <row r="62" spans="1:17" x14ac:dyDescent="0.25">
      <c r="A62" t="str">
        <f>IF('04B Silver Field Treatment'!A63&lt;&gt;"",'04B Silver Field Treatment'!A63,"")</f>
        <v/>
      </c>
      <c r="B62" t="str">
        <f>IF(A62&lt;&gt;"",'04B Silver Field Treatment'!B63,"")</f>
        <v/>
      </c>
      <c r="C62" t="str">
        <f>IF(A62&lt;&gt;"",'04B Silver Field Treatment'!C63,"")</f>
        <v/>
      </c>
      <c r="D62" t="str">
        <f>IF(A62&lt;&gt;"",'04B Silver Field Treatment'!#REF!,"")</f>
        <v/>
      </c>
      <c r="E62" t="str">
        <f>IF(A62&lt;&gt;"",'04B Silver Field Treatment'!D63,"")</f>
        <v/>
      </c>
      <c r="F62" t="str">
        <f>IF(A62&lt;&gt;"",'04B Silver Field Treatment'!F63,"")</f>
        <v/>
      </c>
      <c r="G62" t="str">
        <f>IF(A62&lt;&gt;"",'04B Silver Field Treatment'!K63,"")</f>
        <v/>
      </c>
      <c r="H62" t="str">
        <f>IF(A62&lt;&gt;"",'04B Silver Field Treatment'!L63,"")</f>
        <v/>
      </c>
      <c r="I62" t="str">
        <f>IF(A62&lt;&gt;"",'04B Silver Field Treatment'!M63,"")</f>
        <v/>
      </c>
      <c r="J62" t="str">
        <f>IF(A62&lt;&gt;"",'04B Silver Field Treatment'!N63,"")</f>
        <v/>
      </c>
      <c r="K62" t="str">
        <f>IF(A62&lt;&gt;"",'04B Silver Field Treatment'!O63,"")</f>
        <v/>
      </c>
      <c r="L62" t="str">
        <f>IF(A62&lt;&gt;"",'04B Silver Field Treatment'!P63,"")</f>
        <v/>
      </c>
      <c r="M62" t="str">
        <f>IF(A62&lt;&gt;"",'04B Silver Field Treatment'!Q63,"")</f>
        <v/>
      </c>
      <c r="N62" t="str">
        <f>IF(A62&lt;&gt;"",'04B Silver Field Treatment'!R63,"")</f>
        <v/>
      </c>
      <c r="O62" t="str">
        <f>IF(A62&lt;&gt;"",'04B Silver Field Treatment'!S63,"")</f>
        <v/>
      </c>
      <c r="P62" t="str">
        <f>IF(A62&lt;&gt;"",'04B Silver Field Treatment'!V63,"")</f>
        <v/>
      </c>
      <c r="Q62" t="str">
        <f>IF(A62&lt;&gt;"",'04B Silver Field Treatment'!W63,"")</f>
        <v/>
      </c>
    </row>
    <row r="63" spans="1:17" x14ac:dyDescent="0.25">
      <c r="A63" t="str">
        <f>IF('04B Silver Field Treatment'!A64&lt;&gt;"",'04B Silver Field Treatment'!A64,"")</f>
        <v/>
      </c>
      <c r="B63" t="str">
        <f>IF(A63&lt;&gt;"",'04B Silver Field Treatment'!B64,"")</f>
        <v/>
      </c>
      <c r="C63" t="str">
        <f>IF(A63&lt;&gt;"",'04B Silver Field Treatment'!C64,"")</f>
        <v/>
      </c>
      <c r="D63" t="str">
        <f>IF(A63&lt;&gt;"",'04B Silver Field Treatment'!#REF!,"")</f>
        <v/>
      </c>
      <c r="E63" t="str">
        <f>IF(A63&lt;&gt;"",'04B Silver Field Treatment'!D64,"")</f>
        <v/>
      </c>
      <c r="F63" t="str">
        <f>IF(A63&lt;&gt;"",'04B Silver Field Treatment'!F64,"")</f>
        <v/>
      </c>
      <c r="G63" t="str">
        <f>IF(A63&lt;&gt;"",'04B Silver Field Treatment'!K64,"")</f>
        <v/>
      </c>
      <c r="H63" t="str">
        <f>IF(A63&lt;&gt;"",'04B Silver Field Treatment'!L64,"")</f>
        <v/>
      </c>
      <c r="I63" t="str">
        <f>IF(A63&lt;&gt;"",'04B Silver Field Treatment'!M64,"")</f>
        <v/>
      </c>
      <c r="J63" t="str">
        <f>IF(A63&lt;&gt;"",'04B Silver Field Treatment'!N64,"")</f>
        <v/>
      </c>
      <c r="K63" t="str">
        <f>IF(A63&lt;&gt;"",'04B Silver Field Treatment'!O64,"")</f>
        <v/>
      </c>
      <c r="L63" t="str">
        <f>IF(A63&lt;&gt;"",'04B Silver Field Treatment'!P64,"")</f>
        <v/>
      </c>
      <c r="M63" t="str">
        <f>IF(A63&lt;&gt;"",'04B Silver Field Treatment'!Q64,"")</f>
        <v/>
      </c>
      <c r="N63" t="str">
        <f>IF(A63&lt;&gt;"",'04B Silver Field Treatment'!R64,"")</f>
        <v/>
      </c>
      <c r="O63" t="str">
        <f>IF(A63&lt;&gt;"",'04B Silver Field Treatment'!S64,"")</f>
        <v/>
      </c>
      <c r="P63" t="str">
        <f>IF(A63&lt;&gt;"",'04B Silver Field Treatment'!V64,"")</f>
        <v/>
      </c>
      <c r="Q63" t="str">
        <f>IF(A63&lt;&gt;"",'04B Silver Field Treatment'!W64,"")</f>
        <v/>
      </c>
    </row>
    <row r="64" spans="1:17" x14ac:dyDescent="0.25">
      <c r="A64" t="str">
        <f>IF('04B Silver Field Treatment'!A65&lt;&gt;"",'04B Silver Field Treatment'!A65,"")</f>
        <v/>
      </c>
      <c r="B64" t="str">
        <f>IF(A64&lt;&gt;"",'04B Silver Field Treatment'!B65,"")</f>
        <v/>
      </c>
      <c r="C64" t="str">
        <f>IF(A64&lt;&gt;"",'04B Silver Field Treatment'!C65,"")</f>
        <v/>
      </c>
      <c r="D64" t="str">
        <f>IF(A64&lt;&gt;"",'04B Silver Field Treatment'!#REF!,"")</f>
        <v/>
      </c>
      <c r="E64" t="str">
        <f>IF(A64&lt;&gt;"",'04B Silver Field Treatment'!D65,"")</f>
        <v/>
      </c>
      <c r="F64" t="str">
        <f>IF(A64&lt;&gt;"",'04B Silver Field Treatment'!F65,"")</f>
        <v/>
      </c>
      <c r="G64" t="str">
        <f>IF(A64&lt;&gt;"",'04B Silver Field Treatment'!K65,"")</f>
        <v/>
      </c>
      <c r="H64" t="str">
        <f>IF(A64&lt;&gt;"",'04B Silver Field Treatment'!L65,"")</f>
        <v/>
      </c>
      <c r="I64" t="str">
        <f>IF(A64&lt;&gt;"",'04B Silver Field Treatment'!M65,"")</f>
        <v/>
      </c>
      <c r="J64" t="str">
        <f>IF(A64&lt;&gt;"",'04B Silver Field Treatment'!N65,"")</f>
        <v/>
      </c>
      <c r="K64" t="str">
        <f>IF(A64&lt;&gt;"",'04B Silver Field Treatment'!O65,"")</f>
        <v/>
      </c>
      <c r="L64" t="str">
        <f>IF(A64&lt;&gt;"",'04B Silver Field Treatment'!P65,"")</f>
        <v/>
      </c>
      <c r="M64" t="str">
        <f>IF(A64&lt;&gt;"",'04B Silver Field Treatment'!Q65,"")</f>
        <v/>
      </c>
      <c r="N64" t="str">
        <f>IF(A64&lt;&gt;"",'04B Silver Field Treatment'!R65,"")</f>
        <v/>
      </c>
      <c r="O64" t="str">
        <f>IF(A64&lt;&gt;"",'04B Silver Field Treatment'!S65,"")</f>
        <v/>
      </c>
      <c r="P64" t="str">
        <f>IF(A64&lt;&gt;"",'04B Silver Field Treatment'!V65,"")</f>
        <v/>
      </c>
      <c r="Q64" t="str">
        <f>IF(A64&lt;&gt;"",'04B Silver Field Treatment'!W65,"")</f>
        <v/>
      </c>
    </row>
    <row r="65" spans="1:17" x14ac:dyDescent="0.25">
      <c r="A65" t="str">
        <f>IF('04B Silver Field Treatment'!A66&lt;&gt;"",'04B Silver Field Treatment'!A66,"")</f>
        <v/>
      </c>
      <c r="B65" t="str">
        <f>IF(A65&lt;&gt;"",'04B Silver Field Treatment'!B66,"")</f>
        <v/>
      </c>
      <c r="C65" t="str">
        <f>IF(A65&lt;&gt;"",'04B Silver Field Treatment'!C66,"")</f>
        <v/>
      </c>
      <c r="D65" t="str">
        <f>IF(A65&lt;&gt;"",'04B Silver Field Treatment'!#REF!,"")</f>
        <v/>
      </c>
      <c r="E65" t="str">
        <f>IF(A65&lt;&gt;"",'04B Silver Field Treatment'!D66,"")</f>
        <v/>
      </c>
      <c r="F65" t="str">
        <f>IF(A65&lt;&gt;"",'04B Silver Field Treatment'!F66,"")</f>
        <v/>
      </c>
      <c r="G65" t="str">
        <f>IF(A65&lt;&gt;"",'04B Silver Field Treatment'!K66,"")</f>
        <v/>
      </c>
      <c r="H65" t="str">
        <f>IF(A65&lt;&gt;"",'04B Silver Field Treatment'!L66,"")</f>
        <v/>
      </c>
      <c r="I65" t="str">
        <f>IF(A65&lt;&gt;"",'04B Silver Field Treatment'!M66,"")</f>
        <v/>
      </c>
      <c r="J65" t="str">
        <f>IF(A65&lt;&gt;"",'04B Silver Field Treatment'!N66,"")</f>
        <v/>
      </c>
      <c r="K65" t="str">
        <f>IF(A65&lt;&gt;"",'04B Silver Field Treatment'!O66,"")</f>
        <v/>
      </c>
      <c r="L65" t="str">
        <f>IF(A65&lt;&gt;"",'04B Silver Field Treatment'!P66,"")</f>
        <v/>
      </c>
      <c r="M65" t="str">
        <f>IF(A65&lt;&gt;"",'04B Silver Field Treatment'!Q66,"")</f>
        <v/>
      </c>
      <c r="N65" t="str">
        <f>IF(A65&lt;&gt;"",'04B Silver Field Treatment'!R66,"")</f>
        <v/>
      </c>
      <c r="O65" t="str">
        <f>IF(A65&lt;&gt;"",'04B Silver Field Treatment'!S66,"")</f>
        <v/>
      </c>
      <c r="P65" t="str">
        <f>IF(A65&lt;&gt;"",'04B Silver Field Treatment'!V66,"")</f>
        <v/>
      </c>
      <c r="Q65" t="str">
        <f>IF(A65&lt;&gt;"",'04B Silver Field Treatment'!W66,"")</f>
        <v/>
      </c>
    </row>
    <row r="66" spans="1:17" x14ac:dyDescent="0.25">
      <c r="A66" t="str">
        <f>IF('04B Silver Field Treatment'!A67&lt;&gt;"",'04B Silver Field Treatment'!A67,"")</f>
        <v/>
      </c>
      <c r="B66" t="str">
        <f>IF(A66&lt;&gt;"",'04B Silver Field Treatment'!B67,"")</f>
        <v/>
      </c>
      <c r="C66" t="str">
        <f>IF(A66&lt;&gt;"",'04B Silver Field Treatment'!C67,"")</f>
        <v/>
      </c>
      <c r="D66" t="str">
        <f>IF(A66&lt;&gt;"",'04B Silver Field Treatment'!#REF!,"")</f>
        <v/>
      </c>
      <c r="E66" t="str">
        <f>IF(A66&lt;&gt;"",'04B Silver Field Treatment'!D67,"")</f>
        <v/>
      </c>
      <c r="F66" t="str">
        <f>IF(A66&lt;&gt;"",'04B Silver Field Treatment'!F67,"")</f>
        <v/>
      </c>
      <c r="G66" t="str">
        <f>IF(A66&lt;&gt;"",'04B Silver Field Treatment'!K67,"")</f>
        <v/>
      </c>
      <c r="H66" t="str">
        <f>IF(A66&lt;&gt;"",'04B Silver Field Treatment'!L67,"")</f>
        <v/>
      </c>
      <c r="I66" t="str">
        <f>IF(A66&lt;&gt;"",'04B Silver Field Treatment'!M67,"")</f>
        <v/>
      </c>
      <c r="J66" t="str">
        <f>IF(A66&lt;&gt;"",'04B Silver Field Treatment'!N67,"")</f>
        <v/>
      </c>
      <c r="K66" t="str">
        <f>IF(A66&lt;&gt;"",'04B Silver Field Treatment'!O67,"")</f>
        <v/>
      </c>
      <c r="L66" t="str">
        <f>IF(A66&lt;&gt;"",'04B Silver Field Treatment'!P67,"")</f>
        <v/>
      </c>
      <c r="M66" t="str">
        <f>IF(A66&lt;&gt;"",'04B Silver Field Treatment'!Q67,"")</f>
        <v/>
      </c>
      <c r="N66" t="str">
        <f>IF(A66&lt;&gt;"",'04B Silver Field Treatment'!R67,"")</f>
        <v/>
      </c>
      <c r="O66" t="str">
        <f>IF(A66&lt;&gt;"",'04B Silver Field Treatment'!S67,"")</f>
        <v/>
      </c>
      <c r="P66" t="str">
        <f>IF(A66&lt;&gt;"",'04B Silver Field Treatment'!V67,"")</f>
        <v/>
      </c>
      <c r="Q66" t="str">
        <f>IF(A66&lt;&gt;"",'04B Silver Field Treatment'!W67,"")</f>
        <v/>
      </c>
    </row>
    <row r="67" spans="1:17" x14ac:dyDescent="0.25">
      <c r="A67" t="str">
        <f>IF('04B Silver Field Treatment'!A68&lt;&gt;"",'04B Silver Field Treatment'!A68,"")</f>
        <v/>
      </c>
      <c r="B67" t="str">
        <f>IF(A67&lt;&gt;"",'04B Silver Field Treatment'!B68,"")</f>
        <v/>
      </c>
      <c r="C67" t="str">
        <f>IF(A67&lt;&gt;"",'04B Silver Field Treatment'!C68,"")</f>
        <v/>
      </c>
      <c r="D67" t="str">
        <f>IF(A67&lt;&gt;"",'04B Silver Field Treatment'!#REF!,"")</f>
        <v/>
      </c>
      <c r="E67" t="str">
        <f>IF(A67&lt;&gt;"",'04B Silver Field Treatment'!D68,"")</f>
        <v/>
      </c>
      <c r="F67" t="str">
        <f>IF(A67&lt;&gt;"",'04B Silver Field Treatment'!F68,"")</f>
        <v/>
      </c>
      <c r="G67" t="str">
        <f>IF(A67&lt;&gt;"",'04B Silver Field Treatment'!K68,"")</f>
        <v/>
      </c>
      <c r="H67" t="str">
        <f>IF(A67&lt;&gt;"",'04B Silver Field Treatment'!L68,"")</f>
        <v/>
      </c>
      <c r="I67" t="str">
        <f>IF(A67&lt;&gt;"",'04B Silver Field Treatment'!M68,"")</f>
        <v/>
      </c>
      <c r="J67" t="str">
        <f>IF(A67&lt;&gt;"",'04B Silver Field Treatment'!N68,"")</f>
        <v/>
      </c>
      <c r="K67" t="str">
        <f>IF(A67&lt;&gt;"",'04B Silver Field Treatment'!O68,"")</f>
        <v/>
      </c>
      <c r="L67" t="str">
        <f>IF(A67&lt;&gt;"",'04B Silver Field Treatment'!P68,"")</f>
        <v/>
      </c>
      <c r="M67" t="str">
        <f>IF(A67&lt;&gt;"",'04B Silver Field Treatment'!Q68,"")</f>
        <v/>
      </c>
      <c r="N67" t="str">
        <f>IF(A67&lt;&gt;"",'04B Silver Field Treatment'!R68,"")</f>
        <v/>
      </c>
      <c r="O67" t="str">
        <f>IF(A67&lt;&gt;"",'04B Silver Field Treatment'!S68,"")</f>
        <v/>
      </c>
      <c r="P67" t="str">
        <f>IF(A67&lt;&gt;"",'04B Silver Field Treatment'!V68,"")</f>
        <v/>
      </c>
      <c r="Q67" t="str">
        <f>IF(A67&lt;&gt;"",'04B Silver Field Treatment'!W68,"")</f>
        <v/>
      </c>
    </row>
    <row r="68" spans="1:17" x14ac:dyDescent="0.25">
      <c r="A68" t="str">
        <f>IF('04B Silver Field Treatment'!A69&lt;&gt;"",'04B Silver Field Treatment'!A69,"")</f>
        <v/>
      </c>
      <c r="B68" t="str">
        <f>IF(A68&lt;&gt;"",'04B Silver Field Treatment'!B69,"")</f>
        <v/>
      </c>
      <c r="C68" t="str">
        <f>IF(A68&lt;&gt;"",'04B Silver Field Treatment'!C69,"")</f>
        <v/>
      </c>
      <c r="D68" t="str">
        <f>IF(A68&lt;&gt;"",'04B Silver Field Treatment'!#REF!,"")</f>
        <v/>
      </c>
      <c r="E68" t="str">
        <f>IF(A68&lt;&gt;"",'04B Silver Field Treatment'!D69,"")</f>
        <v/>
      </c>
      <c r="F68" t="str">
        <f>IF(A68&lt;&gt;"",'04B Silver Field Treatment'!F69,"")</f>
        <v/>
      </c>
      <c r="G68" t="str">
        <f>IF(A68&lt;&gt;"",'04B Silver Field Treatment'!K69,"")</f>
        <v/>
      </c>
      <c r="H68" t="str">
        <f>IF(A68&lt;&gt;"",'04B Silver Field Treatment'!L69,"")</f>
        <v/>
      </c>
      <c r="I68" t="str">
        <f>IF(A68&lt;&gt;"",'04B Silver Field Treatment'!M69,"")</f>
        <v/>
      </c>
      <c r="J68" t="str">
        <f>IF(A68&lt;&gt;"",'04B Silver Field Treatment'!N69,"")</f>
        <v/>
      </c>
      <c r="K68" t="str">
        <f>IF(A68&lt;&gt;"",'04B Silver Field Treatment'!O69,"")</f>
        <v/>
      </c>
      <c r="L68" t="str">
        <f>IF(A68&lt;&gt;"",'04B Silver Field Treatment'!P69,"")</f>
        <v/>
      </c>
      <c r="M68" t="str">
        <f>IF(A68&lt;&gt;"",'04B Silver Field Treatment'!Q69,"")</f>
        <v/>
      </c>
      <c r="N68" t="str">
        <f>IF(A68&lt;&gt;"",'04B Silver Field Treatment'!R69,"")</f>
        <v/>
      </c>
      <c r="O68" t="str">
        <f>IF(A68&lt;&gt;"",'04B Silver Field Treatment'!S69,"")</f>
        <v/>
      </c>
      <c r="P68" t="str">
        <f>IF(A68&lt;&gt;"",'04B Silver Field Treatment'!V69,"")</f>
        <v/>
      </c>
      <c r="Q68" t="str">
        <f>IF(A68&lt;&gt;"",'04B Silver Field Treatment'!W69,"")</f>
        <v/>
      </c>
    </row>
    <row r="69" spans="1:17" x14ac:dyDescent="0.25">
      <c r="A69" t="str">
        <f>IF('04B Silver Field Treatment'!A70&lt;&gt;"",'04B Silver Field Treatment'!A70,"")</f>
        <v/>
      </c>
      <c r="B69" t="str">
        <f>IF(A69&lt;&gt;"",'04B Silver Field Treatment'!B70,"")</f>
        <v/>
      </c>
      <c r="C69" t="str">
        <f>IF(A69&lt;&gt;"",'04B Silver Field Treatment'!C70,"")</f>
        <v/>
      </c>
      <c r="D69" t="str">
        <f>IF(A69&lt;&gt;"",'04B Silver Field Treatment'!#REF!,"")</f>
        <v/>
      </c>
      <c r="E69" t="str">
        <f>IF(A69&lt;&gt;"",'04B Silver Field Treatment'!D70,"")</f>
        <v/>
      </c>
      <c r="F69" t="str">
        <f>IF(A69&lt;&gt;"",'04B Silver Field Treatment'!F70,"")</f>
        <v/>
      </c>
      <c r="G69" t="str">
        <f>IF(A69&lt;&gt;"",'04B Silver Field Treatment'!K70,"")</f>
        <v/>
      </c>
      <c r="H69" t="str">
        <f>IF(A69&lt;&gt;"",'04B Silver Field Treatment'!L70,"")</f>
        <v/>
      </c>
      <c r="I69" t="str">
        <f>IF(A69&lt;&gt;"",'04B Silver Field Treatment'!M70,"")</f>
        <v/>
      </c>
      <c r="J69" t="str">
        <f>IF(A69&lt;&gt;"",'04B Silver Field Treatment'!N70,"")</f>
        <v/>
      </c>
      <c r="K69" t="str">
        <f>IF(A69&lt;&gt;"",'04B Silver Field Treatment'!O70,"")</f>
        <v/>
      </c>
      <c r="L69" t="str">
        <f>IF(A69&lt;&gt;"",'04B Silver Field Treatment'!P70,"")</f>
        <v/>
      </c>
      <c r="M69" t="str">
        <f>IF(A69&lt;&gt;"",'04B Silver Field Treatment'!Q70,"")</f>
        <v/>
      </c>
      <c r="N69" t="str">
        <f>IF(A69&lt;&gt;"",'04B Silver Field Treatment'!R70,"")</f>
        <v/>
      </c>
      <c r="O69" t="str">
        <f>IF(A69&lt;&gt;"",'04B Silver Field Treatment'!S70,"")</f>
        <v/>
      </c>
      <c r="P69" t="str">
        <f>IF(A69&lt;&gt;"",'04B Silver Field Treatment'!V70,"")</f>
        <v/>
      </c>
      <c r="Q69" t="str">
        <f>IF(A69&lt;&gt;"",'04B Silver Field Treatment'!W70,"")</f>
        <v/>
      </c>
    </row>
    <row r="70" spans="1:17" x14ac:dyDescent="0.25">
      <c r="A70" t="str">
        <f>IF('04B Silver Field Treatment'!A71&lt;&gt;"",'04B Silver Field Treatment'!A71,"")</f>
        <v/>
      </c>
      <c r="B70" t="str">
        <f>IF(A70&lt;&gt;"",'04B Silver Field Treatment'!B71,"")</f>
        <v/>
      </c>
      <c r="C70" t="str">
        <f>IF(A70&lt;&gt;"",'04B Silver Field Treatment'!C71,"")</f>
        <v/>
      </c>
      <c r="D70" t="str">
        <f>IF(A70&lt;&gt;"",'04B Silver Field Treatment'!#REF!,"")</f>
        <v/>
      </c>
      <c r="E70" t="str">
        <f>IF(A70&lt;&gt;"",'04B Silver Field Treatment'!D71,"")</f>
        <v/>
      </c>
      <c r="F70" t="str">
        <f>IF(A70&lt;&gt;"",'04B Silver Field Treatment'!F71,"")</f>
        <v/>
      </c>
      <c r="G70" t="str">
        <f>IF(A70&lt;&gt;"",'04B Silver Field Treatment'!K71,"")</f>
        <v/>
      </c>
      <c r="H70" t="str">
        <f>IF(A70&lt;&gt;"",'04B Silver Field Treatment'!L71,"")</f>
        <v/>
      </c>
      <c r="I70" t="str">
        <f>IF(A70&lt;&gt;"",'04B Silver Field Treatment'!M71,"")</f>
        <v/>
      </c>
      <c r="J70" t="str">
        <f>IF(A70&lt;&gt;"",'04B Silver Field Treatment'!N71,"")</f>
        <v/>
      </c>
      <c r="K70" t="str">
        <f>IF(A70&lt;&gt;"",'04B Silver Field Treatment'!O71,"")</f>
        <v/>
      </c>
      <c r="L70" t="str">
        <f>IF(A70&lt;&gt;"",'04B Silver Field Treatment'!P71,"")</f>
        <v/>
      </c>
      <c r="M70" t="str">
        <f>IF(A70&lt;&gt;"",'04B Silver Field Treatment'!Q71,"")</f>
        <v/>
      </c>
      <c r="N70" t="str">
        <f>IF(A70&lt;&gt;"",'04B Silver Field Treatment'!R71,"")</f>
        <v/>
      </c>
      <c r="O70" t="str">
        <f>IF(A70&lt;&gt;"",'04B Silver Field Treatment'!S71,"")</f>
        <v/>
      </c>
      <c r="P70" t="str">
        <f>IF(A70&lt;&gt;"",'04B Silver Field Treatment'!V71,"")</f>
        <v/>
      </c>
      <c r="Q70" t="str">
        <f>IF(A70&lt;&gt;"",'04B Silver Field Treatment'!W71,"")</f>
        <v/>
      </c>
    </row>
    <row r="71" spans="1:17" x14ac:dyDescent="0.25">
      <c r="A71" t="str">
        <f>IF('04B Silver Field Treatment'!A72&lt;&gt;"",'04B Silver Field Treatment'!A72,"")</f>
        <v/>
      </c>
      <c r="B71" t="str">
        <f>IF(A71&lt;&gt;"",'04B Silver Field Treatment'!B72,"")</f>
        <v/>
      </c>
      <c r="C71" t="str">
        <f>IF(A71&lt;&gt;"",'04B Silver Field Treatment'!C72,"")</f>
        <v/>
      </c>
      <c r="D71" t="str">
        <f>IF(A71&lt;&gt;"",'04B Silver Field Treatment'!#REF!,"")</f>
        <v/>
      </c>
      <c r="E71" t="str">
        <f>IF(A71&lt;&gt;"",'04B Silver Field Treatment'!D72,"")</f>
        <v/>
      </c>
      <c r="F71" t="str">
        <f>IF(A71&lt;&gt;"",'04B Silver Field Treatment'!F72,"")</f>
        <v/>
      </c>
      <c r="G71" t="str">
        <f>IF(A71&lt;&gt;"",'04B Silver Field Treatment'!K72,"")</f>
        <v/>
      </c>
      <c r="H71" t="str">
        <f>IF(A71&lt;&gt;"",'04B Silver Field Treatment'!L72,"")</f>
        <v/>
      </c>
      <c r="I71" t="str">
        <f>IF(A71&lt;&gt;"",'04B Silver Field Treatment'!M72,"")</f>
        <v/>
      </c>
      <c r="J71" t="str">
        <f>IF(A71&lt;&gt;"",'04B Silver Field Treatment'!N72,"")</f>
        <v/>
      </c>
      <c r="K71" t="str">
        <f>IF(A71&lt;&gt;"",'04B Silver Field Treatment'!O72,"")</f>
        <v/>
      </c>
      <c r="L71" t="str">
        <f>IF(A71&lt;&gt;"",'04B Silver Field Treatment'!P72,"")</f>
        <v/>
      </c>
      <c r="M71" t="str">
        <f>IF(A71&lt;&gt;"",'04B Silver Field Treatment'!Q72,"")</f>
        <v/>
      </c>
      <c r="N71" t="str">
        <f>IF(A71&lt;&gt;"",'04B Silver Field Treatment'!R72,"")</f>
        <v/>
      </c>
      <c r="O71" t="str">
        <f>IF(A71&lt;&gt;"",'04B Silver Field Treatment'!S72,"")</f>
        <v/>
      </c>
      <c r="P71" t="str">
        <f>IF(A71&lt;&gt;"",'04B Silver Field Treatment'!V72,"")</f>
        <v/>
      </c>
      <c r="Q71" t="str">
        <f>IF(A71&lt;&gt;"",'04B Silver Field Treatment'!W72,"")</f>
        <v/>
      </c>
    </row>
    <row r="72" spans="1:17" x14ac:dyDescent="0.25">
      <c r="A72" t="str">
        <f>IF('04B Silver Field Treatment'!A73&lt;&gt;"",'04B Silver Field Treatment'!A73,"")</f>
        <v/>
      </c>
      <c r="B72" t="str">
        <f>IF(A72&lt;&gt;"",'04B Silver Field Treatment'!B73,"")</f>
        <v/>
      </c>
      <c r="C72" t="str">
        <f>IF(A72&lt;&gt;"",'04B Silver Field Treatment'!C73,"")</f>
        <v/>
      </c>
      <c r="D72" t="str">
        <f>IF(A72&lt;&gt;"",'04B Silver Field Treatment'!#REF!,"")</f>
        <v/>
      </c>
      <c r="E72" t="str">
        <f>IF(A72&lt;&gt;"",'04B Silver Field Treatment'!D73,"")</f>
        <v/>
      </c>
      <c r="F72" t="str">
        <f>IF(A72&lt;&gt;"",'04B Silver Field Treatment'!F73,"")</f>
        <v/>
      </c>
      <c r="G72" t="str">
        <f>IF(A72&lt;&gt;"",'04B Silver Field Treatment'!K73,"")</f>
        <v/>
      </c>
      <c r="H72" t="str">
        <f>IF(A72&lt;&gt;"",'04B Silver Field Treatment'!L73,"")</f>
        <v/>
      </c>
      <c r="I72" t="str">
        <f>IF(A72&lt;&gt;"",'04B Silver Field Treatment'!M73,"")</f>
        <v/>
      </c>
      <c r="J72" t="str">
        <f>IF(A72&lt;&gt;"",'04B Silver Field Treatment'!N73,"")</f>
        <v/>
      </c>
      <c r="K72" t="str">
        <f>IF(A72&lt;&gt;"",'04B Silver Field Treatment'!O73,"")</f>
        <v/>
      </c>
      <c r="L72" t="str">
        <f>IF(A72&lt;&gt;"",'04B Silver Field Treatment'!P73,"")</f>
        <v/>
      </c>
      <c r="M72" t="str">
        <f>IF(A72&lt;&gt;"",'04B Silver Field Treatment'!Q73,"")</f>
        <v/>
      </c>
      <c r="N72" t="str">
        <f>IF(A72&lt;&gt;"",'04B Silver Field Treatment'!R73,"")</f>
        <v/>
      </c>
      <c r="O72" t="str">
        <f>IF(A72&lt;&gt;"",'04B Silver Field Treatment'!S73,"")</f>
        <v/>
      </c>
      <c r="P72" t="str">
        <f>IF(A72&lt;&gt;"",'04B Silver Field Treatment'!V73,"")</f>
        <v/>
      </c>
      <c r="Q72" t="str">
        <f>IF(A72&lt;&gt;"",'04B Silver Field Treatment'!W73,"")</f>
        <v/>
      </c>
    </row>
    <row r="73" spans="1:17" x14ac:dyDescent="0.25">
      <c r="A73" t="str">
        <f>IF('04B Silver Field Treatment'!A74&lt;&gt;"",'04B Silver Field Treatment'!A74,"")</f>
        <v/>
      </c>
      <c r="B73" t="str">
        <f>IF(A73&lt;&gt;"",'04B Silver Field Treatment'!B74,"")</f>
        <v/>
      </c>
      <c r="C73" t="str">
        <f>IF(A73&lt;&gt;"",'04B Silver Field Treatment'!C74,"")</f>
        <v/>
      </c>
      <c r="D73" t="str">
        <f>IF(A73&lt;&gt;"",'04B Silver Field Treatment'!#REF!,"")</f>
        <v/>
      </c>
      <c r="E73" t="str">
        <f>IF(A73&lt;&gt;"",'04B Silver Field Treatment'!D74,"")</f>
        <v/>
      </c>
      <c r="F73" t="str">
        <f>IF(A73&lt;&gt;"",'04B Silver Field Treatment'!F74,"")</f>
        <v/>
      </c>
      <c r="G73" t="str">
        <f>IF(A73&lt;&gt;"",'04B Silver Field Treatment'!K74,"")</f>
        <v/>
      </c>
      <c r="H73" t="str">
        <f>IF(A73&lt;&gt;"",'04B Silver Field Treatment'!L74,"")</f>
        <v/>
      </c>
      <c r="I73" t="str">
        <f>IF(A73&lt;&gt;"",'04B Silver Field Treatment'!M74,"")</f>
        <v/>
      </c>
      <c r="J73" t="str">
        <f>IF(A73&lt;&gt;"",'04B Silver Field Treatment'!N74,"")</f>
        <v/>
      </c>
      <c r="K73" t="str">
        <f>IF(A73&lt;&gt;"",'04B Silver Field Treatment'!O74,"")</f>
        <v/>
      </c>
      <c r="L73" t="str">
        <f>IF(A73&lt;&gt;"",'04B Silver Field Treatment'!P74,"")</f>
        <v/>
      </c>
      <c r="M73" t="str">
        <f>IF(A73&lt;&gt;"",'04B Silver Field Treatment'!Q74,"")</f>
        <v/>
      </c>
      <c r="N73" t="str">
        <f>IF(A73&lt;&gt;"",'04B Silver Field Treatment'!R74,"")</f>
        <v/>
      </c>
      <c r="O73" t="str">
        <f>IF(A73&lt;&gt;"",'04B Silver Field Treatment'!S74,"")</f>
        <v/>
      </c>
      <c r="P73" t="str">
        <f>IF(A73&lt;&gt;"",'04B Silver Field Treatment'!V74,"")</f>
        <v/>
      </c>
      <c r="Q73" t="str">
        <f>IF(A73&lt;&gt;"",'04B Silver Field Treatment'!W74,"")</f>
        <v/>
      </c>
    </row>
    <row r="74" spans="1:17" x14ac:dyDescent="0.25">
      <c r="A74" t="str">
        <f>IF('04B Silver Field Treatment'!A75&lt;&gt;"",'04B Silver Field Treatment'!A75,"")</f>
        <v/>
      </c>
      <c r="B74" t="str">
        <f>IF(A74&lt;&gt;"",'04B Silver Field Treatment'!B75,"")</f>
        <v/>
      </c>
      <c r="C74" t="str">
        <f>IF(A74&lt;&gt;"",'04B Silver Field Treatment'!C75,"")</f>
        <v/>
      </c>
      <c r="D74" t="str">
        <f>IF(A74&lt;&gt;"",'04B Silver Field Treatment'!#REF!,"")</f>
        <v/>
      </c>
      <c r="E74" t="str">
        <f>IF(A74&lt;&gt;"",'04B Silver Field Treatment'!D75,"")</f>
        <v/>
      </c>
      <c r="F74" t="str">
        <f>IF(A74&lt;&gt;"",'04B Silver Field Treatment'!F75,"")</f>
        <v/>
      </c>
      <c r="G74" t="str">
        <f>IF(A74&lt;&gt;"",'04B Silver Field Treatment'!K75,"")</f>
        <v/>
      </c>
      <c r="H74" t="str">
        <f>IF(A74&lt;&gt;"",'04B Silver Field Treatment'!L75,"")</f>
        <v/>
      </c>
      <c r="I74" t="str">
        <f>IF(A74&lt;&gt;"",'04B Silver Field Treatment'!M75,"")</f>
        <v/>
      </c>
      <c r="J74" t="str">
        <f>IF(A74&lt;&gt;"",'04B Silver Field Treatment'!N75,"")</f>
        <v/>
      </c>
      <c r="K74" t="str">
        <f>IF(A74&lt;&gt;"",'04B Silver Field Treatment'!O75,"")</f>
        <v/>
      </c>
      <c r="L74" t="str">
        <f>IF(A74&lt;&gt;"",'04B Silver Field Treatment'!P75,"")</f>
        <v/>
      </c>
      <c r="M74" t="str">
        <f>IF(A74&lt;&gt;"",'04B Silver Field Treatment'!Q75,"")</f>
        <v/>
      </c>
      <c r="N74" t="str">
        <f>IF(A74&lt;&gt;"",'04B Silver Field Treatment'!R75,"")</f>
        <v/>
      </c>
      <c r="O74" t="str">
        <f>IF(A74&lt;&gt;"",'04B Silver Field Treatment'!S75,"")</f>
        <v/>
      </c>
      <c r="P74" t="str">
        <f>IF(A74&lt;&gt;"",'04B Silver Field Treatment'!V75,"")</f>
        <v/>
      </c>
      <c r="Q74" t="str">
        <f>IF(A74&lt;&gt;"",'04B Silver Field Treatment'!W75,"")</f>
        <v/>
      </c>
    </row>
    <row r="75" spans="1:17" x14ac:dyDescent="0.25">
      <c r="A75" t="str">
        <f>IF('04B Silver Field Treatment'!A76&lt;&gt;"",'04B Silver Field Treatment'!A76,"")</f>
        <v/>
      </c>
      <c r="B75" t="str">
        <f>IF(A75&lt;&gt;"",'04B Silver Field Treatment'!B76,"")</f>
        <v/>
      </c>
      <c r="C75" t="str">
        <f>IF(A75&lt;&gt;"",'04B Silver Field Treatment'!C76,"")</f>
        <v/>
      </c>
      <c r="D75" t="str">
        <f>IF(A75&lt;&gt;"",'04B Silver Field Treatment'!#REF!,"")</f>
        <v/>
      </c>
      <c r="E75" t="str">
        <f>IF(A75&lt;&gt;"",'04B Silver Field Treatment'!D76,"")</f>
        <v/>
      </c>
      <c r="F75" t="str">
        <f>IF(A75&lt;&gt;"",'04B Silver Field Treatment'!F76,"")</f>
        <v/>
      </c>
      <c r="G75" t="str">
        <f>IF(A75&lt;&gt;"",'04B Silver Field Treatment'!K76,"")</f>
        <v/>
      </c>
      <c r="H75" t="str">
        <f>IF(A75&lt;&gt;"",'04B Silver Field Treatment'!L76,"")</f>
        <v/>
      </c>
      <c r="I75" t="str">
        <f>IF(A75&lt;&gt;"",'04B Silver Field Treatment'!M76,"")</f>
        <v/>
      </c>
      <c r="J75" t="str">
        <f>IF(A75&lt;&gt;"",'04B Silver Field Treatment'!N76,"")</f>
        <v/>
      </c>
      <c r="K75" t="str">
        <f>IF(A75&lt;&gt;"",'04B Silver Field Treatment'!O76,"")</f>
        <v/>
      </c>
      <c r="L75" t="str">
        <f>IF(A75&lt;&gt;"",'04B Silver Field Treatment'!P76,"")</f>
        <v/>
      </c>
      <c r="M75" t="str">
        <f>IF(A75&lt;&gt;"",'04B Silver Field Treatment'!Q76,"")</f>
        <v/>
      </c>
      <c r="N75" t="str">
        <f>IF(A75&lt;&gt;"",'04B Silver Field Treatment'!R76,"")</f>
        <v/>
      </c>
      <c r="O75" t="str">
        <f>IF(A75&lt;&gt;"",'04B Silver Field Treatment'!S76,"")</f>
        <v/>
      </c>
      <c r="P75" t="str">
        <f>IF(A75&lt;&gt;"",'04B Silver Field Treatment'!V76,"")</f>
        <v/>
      </c>
      <c r="Q75" t="str">
        <f>IF(A75&lt;&gt;"",'04B Silver Field Treatment'!W76,"")</f>
        <v/>
      </c>
    </row>
    <row r="76" spans="1:17" x14ac:dyDescent="0.25">
      <c r="A76" t="str">
        <f>IF('04B Silver Field Treatment'!A77&lt;&gt;"",'04B Silver Field Treatment'!A77,"")</f>
        <v/>
      </c>
      <c r="B76" t="str">
        <f>IF(A76&lt;&gt;"",'04B Silver Field Treatment'!B77,"")</f>
        <v/>
      </c>
      <c r="C76" t="str">
        <f>IF(A76&lt;&gt;"",'04B Silver Field Treatment'!C77,"")</f>
        <v/>
      </c>
      <c r="D76" t="str">
        <f>IF(A76&lt;&gt;"",'04B Silver Field Treatment'!#REF!,"")</f>
        <v/>
      </c>
      <c r="E76" t="str">
        <f>IF(A76&lt;&gt;"",'04B Silver Field Treatment'!D77,"")</f>
        <v/>
      </c>
      <c r="F76" t="str">
        <f>IF(A76&lt;&gt;"",'04B Silver Field Treatment'!F77,"")</f>
        <v/>
      </c>
      <c r="G76" t="str">
        <f>IF(A76&lt;&gt;"",'04B Silver Field Treatment'!K77,"")</f>
        <v/>
      </c>
      <c r="H76" t="str">
        <f>IF(A76&lt;&gt;"",'04B Silver Field Treatment'!L77,"")</f>
        <v/>
      </c>
      <c r="I76" t="str">
        <f>IF(A76&lt;&gt;"",'04B Silver Field Treatment'!M77,"")</f>
        <v/>
      </c>
      <c r="J76" t="str">
        <f>IF(A76&lt;&gt;"",'04B Silver Field Treatment'!N77,"")</f>
        <v/>
      </c>
      <c r="K76" t="str">
        <f>IF(A76&lt;&gt;"",'04B Silver Field Treatment'!O77,"")</f>
        <v/>
      </c>
      <c r="L76" t="str">
        <f>IF(A76&lt;&gt;"",'04B Silver Field Treatment'!P77,"")</f>
        <v/>
      </c>
      <c r="M76" t="str">
        <f>IF(A76&lt;&gt;"",'04B Silver Field Treatment'!Q77,"")</f>
        <v/>
      </c>
      <c r="N76" t="str">
        <f>IF(A76&lt;&gt;"",'04B Silver Field Treatment'!R77,"")</f>
        <v/>
      </c>
      <c r="O76" t="str">
        <f>IF(A76&lt;&gt;"",'04B Silver Field Treatment'!S77,"")</f>
        <v/>
      </c>
      <c r="P76" t="str">
        <f>IF(A76&lt;&gt;"",'04B Silver Field Treatment'!V77,"")</f>
        <v/>
      </c>
      <c r="Q76" t="str">
        <f>IF(A76&lt;&gt;"",'04B Silver Field Treatment'!W77,"")</f>
        <v/>
      </c>
    </row>
    <row r="77" spans="1:17" x14ac:dyDescent="0.25">
      <c r="A77" t="str">
        <f>IF('04B Silver Field Treatment'!A78&lt;&gt;"",'04B Silver Field Treatment'!A78,"")</f>
        <v/>
      </c>
      <c r="B77" t="str">
        <f>IF(A77&lt;&gt;"",'04B Silver Field Treatment'!B78,"")</f>
        <v/>
      </c>
      <c r="C77" t="str">
        <f>IF(A77&lt;&gt;"",'04B Silver Field Treatment'!C78,"")</f>
        <v/>
      </c>
      <c r="D77" t="str">
        <f>IF(A77&lt;&gt;"",'04B Silver Field Treatment'!#REF!,"")</f>
        <v/>
      </c>
      <c r="E77" t="str">
        <f>IF(A77&lt;&gt;"",'04B Silver Field Treatment'!D78,"")</f>
        <v/>
      </c>
      <c r="F77" t="str">
        <f>IF(A77&lt;&gt;"",'04B Silver Field Treatment'!F78,"")</f>
        <v/>
      </c>
      <c r="G77" t="str">
        <f>IF(A77&lt;&gt;"",'04B Silver Field Treatment'!K78,"")</f>
        <v/>
      </c>
      <c r="H77" t="str">
        <f>IF(A77&lt;&gt;"",'04B Silver Field Treatment'!L78,"")</f>
        <v/>
      </c>
      <c r="I77" t="str">
        <f>IF(A77&lt;&gt;"",'04B Silver Field Treatment'!M78,"")</f>
        <v/>
      </c>
      <c r="J77" t="str">
        <f>IF(A77&lt;&gt;"",'04B Silver Field Treatment'!N78,"")</f>
        <v/>
      </c>
      <c r="K77" t="str">
        <f>IF(A77&lt;&gt;"",'04B Silver Field Treatment'!O78,"")</f>
        <v/>
      </c>
      <c r="L77" t="str">
        <f>IF(A77&lt;&gt;"",'04B Silver Field Treatment'!P78,"")</f>
        <v/>
      </c>
      <c r="M77" t="str">
        <f>IF(A77&lt;&gt;"",'04B Silver Field Treatment'!Q78,"")</f>
        <v/>
      </c>
      <c r="N77" t="str">
        <f>IF(A77&lt;&gt;"",'04B Silver Field Treatment'!R78,"")</f>
        <v/>
      </c>
      <c r="O77" t="str">
        <f>IF(A77&lt;&gt;"",'04B Silver Field Treatment'!S78,"")</f>
        <v/>
      </c>
      <c r="P77" t="str">
        <f>IF(A77&lt;&gt;"",'04B Silver Field Treatment'!V78,"")</f>
        <v/>
      </c>
      <c r="Q77" t="str">
        <f>IF(A77&lt;&gt;"",'04B Silver Field Treatment'!W78,"")</f>
        <v/>
      </c>
    </row>
    <row r="78" spans="1:17" x14ac:dyDescent="0.25">
      <c r="A78" t="str">
        <f>IF('04B Silver Field Treatment'!A79&lt;&gt;"",'04B Silver Field Treatment'!A79,"")</f>
        <v/>
      </c>
      <c r="B78" t="str">
        <f>IF(A78&lt;&gt;"",'04B Silver Field Treatment'!B79,"")</f>
        <v/>
      </c>
      <c r="C78" t="str">
        <f>IF(A78&lt;&gt;"",'04B Silver Field Treatment'!C79,"")</f>
        <v/>
      </c>
      <c r="D78" t="str">
        <f>IF(A78&lt;&gt;"",'04B Silver Field Treatment'!#REF!,"")</f>
        <v/>
      </c>
      <c r="E78" t="str">
        <f>IF(A78&lt;&gt;"",'04B Silver Field Treatment'!D79,"")</f>
        <v/>
      </c>
      <c r="F78" t="str">
        <f>IF(A78&lt;&gt;"",'04B Silver Field Treatment'!F79,"")</f>
        <v/>
      </c>
      <c r="G78" t="str">
        <f>IF(A78&lt;&gt;"",'04B Silver Field Treatment'!K79,"")</f>
        <v/>
      </c>
      <c r="H78" t="str">
        <f>IF(A78&lt;&gt;"",'04B Silver Field Treatment'!L79,"")</f>
        <v/>
      </c>
      <c r="I78" t="str">
        <f>IF(A78&lt;&gt;"",'04B Silver Field Treatment'!M79,"")</f>
        <v/>
      </c>
      <c r="J78" t="str">
        <f>IF(A78&lt;&gt;"",'04B Silver Field Treatment'!N79,"")</f>
        <v/>
      </c>
      <c r="K78" t="str">
        <f>IF(A78&lt;&gt;"",'04B Silver Field Treatment'!O79,"")</f>
        <v/>
      </c>
      <c r="L78" t="str">
        <f>IF(A78&lt;&gt;"",'04B Silver Field Treatment'!P79,"")</f>
        <v/>
      </c>
      <c r="M78" t="str">
        <f>IF(A78&lt;&gt;"",'04B Silver Field Treatment'!Q79,"")</f>
        <v/>
      </c>
      <c r="N78" t="str">
        <f>IF(A78&lt;&gt;"",'04B Silver Field Treatment'!R79,"")</f>
        <v/>
      </c>
      <c r="O78" t="str">
        <f>IF(A78&lt;&gt;"",'04B Silver Field Treatment'!S79,"")</f>
        <v/>
      </c>
      <c r="P78" t="str">
        <f>IF(A78&lt;&gt;"",'04B Silver Field Treatment'!V79,"")</f>
        <v/>
      </c>
      <c r="Q78" t="str">
        <f>IF(A78&lt;&gt;"",'04B Silver Field Treatment'!W79,"")</f>
        <v/>
      </c>
    </row>
    <row r="79" spans="1:17" x14ac:dyDescent="0.25">
      <c r="A79" t="str">
        <f>IF('04B Silver Field Treatment'!A80&lt;&gt;"",'04B Silver Field Treatment'!A80,"")</f>
        <v/>
      </c>
      <c r="B79" t="str">
        <f>IF(A79&lt;&gt;"",'04B Silver Field Treatment'!B80,"")</f>
        <v/>
      </c>
      <c r="C79" t="str">
        <f>IF(A79&lt;&gt;"",'04B Silver Field Treatment'!C80,"")</f>
        <v/>
      </c>
      <c r="D79" t="str">
        <f>IF(A79&lt;&gt;"",'04B Silver Field Treatment'!#REF!,"")</f>
        <v/>
      </c>
      <c r="E79" t="str">
        <f>IF(A79&lt;&gt;"",'04B Silver Field Treatment'!D80,"")</f>
        <v/>
      </c>
      <c r="F79" t="str">
        <f>IF(A79&lt;&gt;"",'04B Silver Field Treatment'!F80,"")</f>
        <v/>
      </c>
      <c r="G79" t="str">
        <f>IF(A79&lt;&gt;"",'04B Silver Field Treatment'!K80,"")</f>
        <v/>
      </c>
      <c r="H79" t="str">
        <f>IF(A79&lt;&gt;"",'04B Silver Field Treatment'!L80,"")</f>
        <v/>
      </c>
      <c r="I79" t="str">
        <f>IF(A79&lt;&gt;"",'04B Silver Field Treatment'!M80,"")</f>
        <v/>
      </c>
      <c r="J79" t="str">
        <f>IF(A79&lt;&gt;"",'04B Silver Field Treatment'!N80,"")</f>
        <v/>
      </c>
      <c r="K79" t="str">
        <f>IF(A79&lt;&gt;"",'04B Silver Field Treatment'!O80,"")</f>
        <v/>
      </c>
      <c r="L79" t="str">
        <f>IF(A79&lt;&gt;"",'04B Silver Field Treatment'!P80,"")</f>
        <v/>
      </c>
      <c r="M79" t="str">
        <f>IF(A79&lt;&gt;"",'04B Silver Field Treatment'!Q80,"")</f>
        <v/>
      </c>
      <c r="N79" t="str">
        <f>IF(A79&lt;&gt;"",'04B Silver Field Treatment'!R80,"")</f>
        <v/>
      </c>
      <c r="O79" t="str">
        <f>IF(A79&lt;&gt;"",'04B Silver Field Treatment'!S80,"")</f>
        <v/>
      </c>
      <c r="P79" t="str">
        <f>IF(A79&lt;&gt;"",'04B Silver Field Treatment'!V80,"")</f>
        <v/>
      </c>
      <c r="Q79" t="str">
        <f>IF(A79&lt;&gt;"",'04B Silver Field Treatment'!W80,"")</f>
        <v/>
      </c>
    </row>
    <row r="80" spans="1:17" x14ac:dyDescent="0.25">
      <c r="A80" t="str">
        <f>IF('04B Silver Field Treatment'!A81&lt;&gt;"",'04B Silver Field Treatment'!A81,"")</f>
        <v/>
      </c>
      <c r="B80" t="str">
        <f>IF(A80&lt;&gt;"",'04B Silver Field Treatment'!B81,"")</f>
        <v/>
      </c>
      <c r="C80" t="str">
        <f>IF(A80&lt;&gt;"",'04B Silver Field Treatment'!C81,"")</f>
        <v/>
      </c>
      <c r="D80" t="str">
        <f>IF(A80&lt;&gt;"",'04B Silver Field Treatment'!#REF!,"")</f>
        <v/>
      </c>
      <c r="E80" t="str">
        <f>IF(A80&lt;&gt;"",'04B Silver Field Treatment'!D81,"")</f>
        <v/>
      </c>
      <c r="F80" t="str">
        <f>IF(A80&lt;&gt;"",'04B Silver Field Treatment'!F81,"")</f>
        <v/>
      </c>
      <c r="G80" t="str">
        <f>IF(A80&lt;&gt;"",'04B Silver Field Treatment'!K81,"")</f>
        <v/>
      </c>
      <c r="H80" t="str">
        <f>IF(A80&lt;&gt;"",'04B Silver Field Treatment'!L81,"")</f>
        <v/>
      </c>
      <c r="I80" t="str">
        <f>IF(A80&lt;&gt;"",'04B Silver Field Treatment'!M81,"")</f>
        <v/>
      </c>
      <c r="J80" t="str">
        <f>IF(A80&lt;&gt;"",'04B Silver Field Treatment'!N81,"")</f>
        <v/>
      </c>
      <c r="K80" t="str">
        <f>IF(A80&lt;&gt;"",'04B Silver Field Treatment'!O81,"")</f>
        <v/>
      </c>
      <c r="L80" t="str">
        <f>IF(A80&lt;&gt;"",'04B Silver Field Treatment'!P81,"")</f>
        <v/>
      </c>
      <c r="M80" t="str">
        <f>IF(A80&lt;&gt;"",'04B Silver Field Treatment'!Q81,"")</f>
        <v/>
      </c>
      <c r="N80" t="str">
        <f>IF(A80&lt;&gt;"",'04B Silver Field Treatment'!R81,"")</f>
        <v/>
      </c>
      <c r="O80" t="str">
        <f>IF(A80&lt;&gt;"",'04B Silver Field Treatment'!S81,"")</f>
        <v/>
      </c>
      <c r="P80" t="str">
        <f>IF(A80&lt;&gt;"",'04B Silver Field Treatment'!V81,"")</f>
        <v/>
      </c>
      <c r="Q80" t="str">
        <f>IF(A80&lt;&gt;"",'04B Silver Field Treatment'!W81,"")</f>
        <v/>
      </c>
    </row>
    <row r="81" spans="1:17" x14ac:dyDescent="0.25">
      <c r="A81" t="str">
        <f>IF('04B Silver Field Treatment'!A82&lt;&gt;"",'04B Silver Field Treatment'!A82,"")</f>
        <v/>
      </c>
      <c r="B81" t="str">
        <f>IF(A81&lt;&gt;"",'04B Silver Field Treatment'!B82,"")</f>
        <v/>
      </c>
      <c r="C81" t="str">
        <f>IF(A81&lt;&gt;"",'04B Silver Field Treatment'!C82,"")</f>
        <v/>
      </c>
      <c r="D81" t="str">
        <f>IF(A81&lt;&gt;"",'04B Silver Field Treatment'!#REF!,"")</f>
        <v/>
      </c>
      <c r="E81" t="str">
        <f>IF(A81&lt;&gt;"",'04B Silver Field Treatment'!D82,"")</f>
        <v/>
      </c>
      <c r="F81" t="str">
        <f>IF(A81&lt;&gt;"",'04B Silver Field Treatment'!F82,"")</f>
        <v/>
      </c>
      <c r="G81" t="str">
        <f>IF(A81&lt;&gt;"",'04B Silver Field Treatment'!K82,"")</f>
        <v/>
      </c>
      <c r="H81" t="str">
        <f>IF(A81&lt;&gt;"",'04B Silver Field Treatment'!L82,"")</f>
        <v/>
      </c>
      <c r="I81" t="str">
        <f>IF(A81&lt;&gt;"",'04B Silver Field Treatment'!M82,"")</f>
        <v/>
      </c>
      <c r="J81" t="str">
        <f>IF(A81&lt;&gt;"",'04B Silver Field Treatment'!N82,"")</f>
        <v/>
      </c>
      <c r="K81" t="str">
        <f>IF(A81&lt;&gt;"",'04B Silver Field Treatment'!O82,"")</f>
        <v/>
      </c>
      <c r="L81" t="str">
        <f>IF(A81&lt;&gt;"",'04B Silver Field Treatment'!P82,"")</f>
        <v/>
      </c>
      <c r="M81" t="str">
        <f>IF(A81&lt;&gt;"",'04B Silver Field Treatment'!Q82,"")</f>
        <v/>
      </c>
      <c r="N81" t="str">
        <f>IF(A81&lt;&gt;"",'04B Silver Field Treatment'!R82,"")</f>
        <v/>
      </c>
      <c r="O81" t="str">
        <f>IF(A81&lt;&gt;"",'04B Silver Field Treatment'!S82,"")</f>
        <v/>
      </c>
      <c r="P81" t="str">
        <f>IF(A81&lt;&gt;"",'04B Silver Field Treatment'!V82,"")</f>
        <v/>
      </c>
      <c r="Q81" t="str">
        <f>IF(A81&lt;&gt;"",'04B Silver Field Treatment'!W82,"")</f>
        <v/>
      </c>
    </row>
    <row r="82" spans="1:17" x14ac:dyDescent="0.25">
      <c r="A82" t="str">
        <f>IF('04B Silver Field Treatment'!A83&lt;&gt;"",'04B Silver Field Treatment'!A83,"")</f>
        <v/>
      </c>
      <c r="B82" t="str">
        <f>IF(A82&lt;&gt;"",'04B Silver Field Treatment'!B83,"")</f>
        <v/>
      </c>
      <c r="C82" t="str">
        <f>IF(A82&lt;&gt;"",'04B Silver Field Treatment'!C83,"")</f>
        <v/>
      </c>
      <c r="D82" t="str">
        <f>IF(A82&lt;&gt;"",'04B Silver Field Treatment'!#REF!,"")</f>
        <v/>
      </c>
      <c r="E82" t="str">
        <f>IF(A82&lt;&gt;"",'04B Silver Field Treatment'!D83,"")</f>
        <v/>
      </c>
      <c r="F82" t="str">
        <f>IF(A82&lt;&gt;"",'04B Silver Field Treatment'!F83,"")</f>
        <v/>
      </c>
      <c r="G82" t="str">
        <f>IF(A82&lt;&gt;"",'04B Silver Field Treatment'!K83,"")</f>
        <v/>
      </c>
      <c r="H82" t="str">
        <f>IF(A82&lt;&gt;"",'04B Silver Field Treatment'!L83,"")</f>
        <v/>
      </c>
      <c r="I82" t="str">
        <f>IF(A82&lt;&gt;"",'04B Silver Field Treatment'!M83,"")</f>
        <v/>
      </c>
      <c r="J82" t="str">
        <f>IF(A82&lt;&gt;"",'04B Silver Field Treatment'!N83,"")</f>
        <v/>
      </c>
      <c r="K82" t="str">
        <f>IF(A82&lt;&gt;"",'04B Silver Field Treatment'!O83,"")</f>
        <v/>
      </c>
      <c r="L82" t="str">
        <f>IF(A82&lt;&gt;"",'04B Silver Field Treatment'!P83,"")</f>
        <v/>
      </c>
      <c r="M82" t="str">
        <f>IF(A82&lt;&gt;"",'04B Silver Field Treatment'!Q83,"")</f>
        <v/>
      </c>
      <c r="N82" t="str">
        <f>IF(A82&lt;&gt;"",'04B Silver Field Treatment'!R83,"")</f>
        <v/>
      </c>
      <c r="O82" t="str">
        <f>IF(A82&lt;&gt;"",'04B Silver Field Treatment'!S83,"")</f>
        <v/>
      </c>
      <c r="P82" t="str">
        <f>IF(A82&lt;&gt;"",'04B Silver Field Treatment'!V83,"")</f>
        <v/>
      </c>
      <c r="Q82" t="str">
        <f>IF(A82&lt;&gt;"",'04B Silver Field Treatment'!W83,"")</f>
        <v/>
      </c>
    </row>
    <row r="83" spans="1:17" x14ac:dyDescent="0.25">
      <c r="A83" t="str">
        <f>IF('04B Silver Field Treatment'!A84&lt;&gt;"",'04B Silver Field Treatment'!A84,"")</f>
        <v/>
      </c>
      <c r="B83" t="str">
        <f>IF(A83&lt;&gt;"",'04B Silver Field Treatment'!B84,"")</f>
        <v/>
      </c>
      <c r="C83" t="str">
        <f>IF(A83&lt;&gt;"",'04B Silver Field Treatment'!C84,"")</f>
        <v/>
      </c>
      <c r="D83" t="str">
        <f>IF(A83&lt;&gt;"",'04B Silver Field Treatment'!#REF!,"")</f>
        <v/>
      </c>
      <c r="E83" t="str">
        <f>IF(A83&lt;&gt;"",'04B Silver Field Treatment'!D84,"")</f>
        <v/>
      </c>
      <c r="F83" t="str">
        <f>IF(A83&lt;&gt;"",'04B Silver Field Treatment'!F84,"")</f>
        <v/>
      </c>
      <c r="G83" t="str">
        <f>IF(A83&lt;&gt;"",'04B Silver Field Treatment'!K84,"")</f>
        <v/>
      </c>
      <c r="H83" t="str">
        <f>IF(A83&lt;&gt;"",'04B Silver Field Treatment'!L84,"")</f>
        <v/>
      </c>
      <c r="I83" t="str">
        <f>IF(A83&lt;&gt;"",'04B Silver Field Treatment'!M84,"")</f>
        <v/>
      </c>
      <c r="J83" t="str">
        <f>IF(A83&lt;&gt;"",'04B Silver Field Treatment'!N84,"")</f>
        <v/>
      </c>
      <c r="K83" t="str">
        <f>IF(A83&lt;&gt;"",'04B Silver Field Treatment'!O84,"")</f>
        <v/>
      </c>
      <c r="L83" t="str">
        <f>IF(A83&lt;&gt;"",'04B Silver Field Treatment'!P84,"")</f>
        <v/>
      </c>
      <c r="M83" t="str">
        <f>IF(A83&lt;&gt;"",'04B Silver Field Treatment'!Q84,"")</f>
        <v/>
      </c>
      <c r="N83" t="str">
        <f>IF(A83&lt;&gt;"",'04B Silver Field Treatment'!R84,"")</f>
        <v/>
      </c>
      <c r="O83" t="str">
        <f>IF(A83&lt;&gt;"",'04B Silver Field Treatment'!S84,"")</f>
        <v/>
      </c>
      <c r="P83" t="str">
        <f>IF(A83&lt;&gt;"",'04B Silver Field Treatment'!V84,"")</f>
        <v/>
      </c>
      <c r="Q83" t="str">
        <f>IF(A83&lt;&gt;"",'04B Silver Field Treatment'!W84,"")</f>
        <v/>
      </c>
    </row>
    <row r="84" spans="1:17" x14ac:dyDescent="0.25">
      <c r="A84" t="str">
        <f>IF('04B Silver Field Treatment'!A85&lt;&gt;"",'04B Silver Field Treatment'!A85,"")</f>
        <v/>
      </c>
      <c r="B84" t="str">
        <f>IF(A84&lt;&gt;"",'04B Silver Field Treatment'!B85,"")</f>
        <v/>
      </c>
      <c r="C84" t="str">
        <f>IF(A84&lt;&gt;"",'04B Silver Field Treatment'!C85,"")</f>
        <v/>
      </c>
      <c r="D84" t="str">
        <f>IF(A84&lt;&gt;"",'04B Silver Field Treatment'!#REF!,"")</f>
        <v/>
      </c>
      <c r="E84" t="str">
        <f>IF(A84&lt;&gt;"",'04B Silver Field Treatment'!D85,"")</f>
        <v/>
      </c>
      <c r="F84" t="str">
        <f>IF(A84&lt;&gt;"",'04B Silver Field Treatment'!F85,"")</f>
        <v/>
      </c>
      <c r="G84" t="str">
        <f>IF(A84&lt;&gt;"",'04B Silver Field Treatment'!K85,"")</f>
        <v/>
      </c>
      <c r="H84" t="str">
        <f>IF(A84&lt;&gt;"",'04B Silver Field Treatment'!L85,"")</f>
        <v/>
      </c>
      <c r="I84" t="str">
        <f>IF(A84&lt;&gt;"",'04B Silver Field Treatment'!M85,"")</f>
        <v/>
      </c>
      <c r="J84" t="str">
        <f>IF(A84&lt;&gt;"",'04B Silver Field Treatment'!N85,"")</f>
        <v/>
      </c>
      <c r="K84" t="str">
        <f>IF(A84&lt;&gt;"",'04B Silver Field Treatment'!O85,"")</f>
        <v/>
      </c>
      <c r="L84" t="str">
        <f>IF(A84&lt;&gt;"",'04B Silver Field Treatment'!P85,"")</f>
        <v/>
      </c>
      <c r="M84" t="str">
        <f>IF(A84&lt;&gt;"",'04B Silver Field Treatment'!Q85,"")</f>
        <v/>
      </c>
      <c r="N84" t="str">
        <f>IF(A84&lt;&gt;"",'04B Silver Field Treatment'!R85,"")</f>
        <v/>
      </c>
      <c r="O84" t="str">
        <f>IF(A84&lt;&gt;"",'04B Silver Field Treatment'!S85,"")</f>
        <v/>
      </c>
      <c r="P84" t="str">
        <f>IF(A84&lt;&gt;"",'04B Silver Field Treatment'!V85,"")</f>
        <v/>
      </c>
      <c r="Q84" t="str">
        <f>IF(A84&lt;&gt;"",'04B Silver Field Treatment'!W85,"")</f>
        <v/>
      </c>
    </row>
    <row r="85" spans="1:17" x14ac:dyDescent="0.25">
      <c r="A85" t="str">
        <f>IF('04B Silver Field Treatment'!A86&lt;&gt;"",'04B Silver Field Treatment'!A86,"")</f>
        <v/>
      </c>
      <c r="B85" t="str">
        <f>IF(A85&lt;&gt;"",'04B Silver Field Treatment'!B86,"")</f>
        <v/>
      </c>
      <c r="C85" t="str">
        <f>IF(A85&lt;&gt;"",'04B Silver Field Treatment'!C86,"")</f>
        <v/>
      </c>
      <c r="D85" t="str">
        <f>IF(A85&lt;&gt;"",'04B Silver Field Treatment'!#REF!,"")</f>
        <v/>
      </c>
      <c r="E85" t="str">
        <f>IF(A85&lt;&gt;"",'04B Silver Field Treatment'!D86,"")</f>
        <v/>
      </c>
      <c r="F85" t="str">
        <f>IF(A85&lt;&gt;"",'04B Silver Field Treatment'!F86,"")</f>
        <v/>
      </c>
      <c r="G85" t="str">
        <f>IF(A85&lt;&gt;"",'04B Silver Field Treatment'!K86,"")</f>
        <v/>
      </c>
      <c r="H85" t="str">
        <f>IF(A85&lt;&gt;"",'04B Silver Field Treatment'!L86,"")</f>
        <v/>
      </c>
      <c r="I85" t="str">
        <f>IF(A85&lt;&gt;"",'04B Silver Field Treatment'!M86,"")</f>
        <v/>
      </c>
      <c r="J85" t="str">
        <f>IF(A85&lt;&gt;"",'04B Silver Field Treatment'!N86,"")</f>
        <v/>
      </c>
      <c r="K85" t="str">
        <f>IF(A85&lt;&gt;"",'04B Silver Field Treatment'!O86,"")</f>
        <v/>
      </c>
      <c r="L85" t="str">
        <f>IF(A85&lt;&gt;"",'04B Silver Field Treatment'!P86,"")</f>
        <v/>
      </c>
      <c r="M85" t="str">
        <f>IF(A85&lt;&gt;"",'04B Silver Field Treatment'!Q86,"")</f>
        <v/>
      </c>
      <c r="N85" t="str">
        <f>IF(A85&lt;&gt;"",'04B Silver Field Treatment'!R86,"")</f>
        <v/>
      </c>
      <c r="O85" t="str">
        <f>IF(A85&lt;&gt;"",'04B Silver Field Treatment'!S86,"")</f>
        <v/>
      </c>
      <c r="P85" t="str">
        <f>IF(A85&lt;&gt;"",'04B Silver Field Treatment'!V86,"")</f>
        <v/>
      </c>
      <c r="Q85" t="str">
        <f>IF(A85&lt;&gt;"",'04B Silver Field Treatment'!W86,"")</f>
        <v/>
      </c>
    </row>
    <row r="86" spans="1:17" x14ac:dyDescent="0.25">
      <c r="A86" t="str">
        <f>IF('04B Silver Field Treatment'!A87&lt;&gt;"",'04B Silver Field Treatment'!A87,"")</f>
        <v/>
      </c>
      <c r="B86" t="str">
        <f>IF(A86&lt;&gt;"",'04B Silver Field Treatment'!B87,"")</f>
        <v/>
      </c>
      <c r="C86" t="str">
        <f>IF(A86&lt;&gt;"",'04B Silver Field Treatment'!C87,"")</f>
        <v/>
      </c>
      <c r="D86" t="str">
        <f>IF(A86&lt;&gt;"",'04B Silver Field Treatment'!#REF!,"")</f>
        <v/>
      </c>
      <c r="E86" t="str">
        <f>IF(A86&lt;&gt;"",'04B Silver Field Treatment'!D87,"")</f>
        <v/>
      </c>
      <c r="F86" t="str">
        <f>IF(A86&lt;&gt;"",'04B Silver Field Treatment'!F87,"")</f>
        <v/>
      </c>
      <c r="G86" t="str">
        <f>IF(A86&lt;&gt;"",'04B Silver Field Treatment'!K87,"")</f>
        <v/>
      </c>
      <c r="H86" t="str">
        <f>IF(A86&lt;&gt;"",'04B Silver Field Treatment'!L87,"")</f>
        <v/>
      </c>
      <c r="I86" t="str">
        <f>IF(A86&lt;&gt;"",'04B Silver Field Treatment'!M87,"")</f>
        <v/>
      </c>
      <c r="J86" t="str">
        <f>IF(A86&lt;&gt;"",'04B Silver Field Treatment'!N87,"")</f>
        <v/>
      </c>
      <c r="K86" t="str">
        <f>IF(A86&lt;&gt;"",'04B Silver Field Treatment'!O87,"")</f>
        <v/>
      </c>
      <c r="L86" t="str">
        <f>IF(A86&lt;&gt;"",'04B Silver Field Treatment'!P87,"")</f>
        <v/>
      </c>
      <c r="M86" t="str">
        <f>IF(A86&lt;&gt;"",'04B Silver Field Treatment'!Q87,"")</f>
        <v/>
      </c>
      <c r="N86" t="str">
        <f>IF(A86&lt;&gt;"",'04B Silver Field Treatment'!R87,"")</f>
        <v/>
      </c>
      <c r="O86" t="str">
        <f>IF(A86&lt;&gt;"",'04B Silver Field Treatment'!S87,"")</f>
        <v/>
      </c>
      <c r="P86" t="str">
        <f>IF(A86&lt;&gt;"",'04B Silver Field Treatment'!V87,"")</f>
        <v/>
      </c>
      <c r="Q86" t="str">
        <f>IF(A86&lt;&gt;"",'04B Silver Field Treatment'!W87,"")</f>
        <v/>
      </c>
    </row>
    <row r="87" spans="1:17" x14ac:dyDescent="0.25">
      <c r="A87" t="str">
        <f>IF('04B Silver Field Treatment'!A88&lt;&gt;"",'04B Silver Field Treatment'!A88,"")</f>
        <v/>
      </c>
      <c r="B87" t="str">
        <f>IF(A87&lt;&gt;"",'04B Silver Field Treatment'!B88,"")</f>
        <v/>
      </c>
      <c r="C87" t="str">
        <f>IF(A87&lt;&gt;"",'04B Silver Field Treatment'!C88,"")</f>
        <v/>
      </c>
      <c r="D87" t="str">
        <f>IF(A87&lt;&gt;"",'04B Silver Field Treatment'!#REF!,"")</f>
        <v/>
      </c>
      <c r="E87" t="str">
        <f>IF(A87&lt;&gt;"",'04B Silver Field Treatment'!D88,"")</f>
        <v/>
      </c>
      <c r="F87" t="str">
        <f>IF(A87&lt;&gt;"",'04B Silver Field Treatment'!F88,"")</f>
        <v/>
      </c>
      <c r="G87" t="str">
        <f>IF(A87&lt;&gt;"",'04B Silver Field Treatment'!K88,"")</f>
        <v/>
      </c>
      <c r="H87" t="str">
        <f>IF(A87&lt;&gt;"",'04B Silver Field Treatment'!L88,"")</f>
        <v/>
      </c>
      <c r="I87" t="str">
        <f>IF(A87&lt;&gt;"",'04B Silver Field Treatment'!M88,"")</f>
        <v/>
      </c>
      <c r="J87" t="str">
        <f>IF(A87&lt;&gt;"",'04B Silver Field Treatment'!N88,"")</f>
        <v/>
      </c>
      <c r="K87" t="str">
        <f>IF(A87&lt;&gt;"",'04B Silver Field Treatment'!O88,"")</f>
        <v/>
      </c>
      <c r="L87" t="str">
        <f>IF(A87&lt;&gt;"",'04B Silver Field Treatment'!P88,"")</f>
        <v/>
      </c>
      <c r="M87" t="str">
        <f>IF(A87&lt;&gt;"",'04B Silver Field Treatment'!Q88,"")</f>
        <v/>
      </c>
      <c r="N87" t="str">
        <f>IF(A87&lt;&gt;"",'04B Silver Field Treatment'!R88,"")</f>
        <v/>
      </c>
      <c r="O87" t="str">
        <f>IF(A87&lt;&gt;"",'04B Silver Field Treatment'!S88,"")</f>
        <v/>
      </c>
      <c r="P87" t="str">
        <f>IF(A87&lt;&gt;"",'04B Silver Field Treatment'!V88,"")</f>
        <v/>
      </c>
      <c r="Q87" t="str">
        <f>IF(A87&lt;&gt;"",'04B Silver Field Treatment'!W88,"")</f>
        <v/>
      </c>
    </row>
    <row r="88" spans="1:17" x14ac:dyDescent="0.25">
      <c r="A88" t="str">
        <f>IF('04B Silver Field Treatment'!A89&lt;&gt;"",'04B Silver Field Treatment'!A89,"")</f>
        <v/>
      </c>
      <c r="B88" t="str">
        <f>IF(A88&lt;&gt;"",'04B Silver Field Treatment'!B89,"")</f>
        <v/>
      </c>
      <c r="C88" t="str">
        <f>IF(A88&lt;&gt;"",'04B Silver Field Treatment'!C89,"")</f>
        <v/>
      </c>
      <c r="D88" t="str">
        <f>IF(A88&lt;&gt;"",'04B Silver Field Treatment'!#REF!,"")</f>
        <v/>
      </c>
      <c r="E88" t="str">
        <f>IF(A88&lt;&gt;"",'04B Silver Field Treatment'!D89,"")</f>
        <v/>
      </c>
      <c r="F88" t="str">
        <f>IF(A88&lt;&gt;"",'04B Silver Field Treatment'!F89,"")</f>
        <v/>
      </c>
      <c r="G88" t="str">
        <f>IF(A88&lt;&gt;"",'04B Silver Field Treatment'!K89,"")</f>
        <v/>
      </c>
      <c r="H88" t="str">
        <f>IF(A88&lt;&gt;"",'04B Silver Field Treatment'!L89,"")</f>
        <v/>
      </c>
      <c r="I88" t="str">
        <f>IF(A88&lt;&gt;"",'04B Silver Field Treatment'!M89,"")</f>
        <v/>
      </c>
      <c r="J88" t="str">
        <f>IF(A88&lt;&gt;"",'04B Silver Field Treatment'!N89,"")</f>
        <v/>
      </c>
      <c r="K88" t="str">
        <f>IF(A88&lt;&gt;"",'04B Silver Field Treatment'!O89,"")</f>
        <v/>
      </c>
      <c r="L88" t="str">
        <f>IF(A88&lt;&gt;"",'04B Silver Field Treatment'!P89,"")</f>
        <v/>
      </c>
      <c r="M88" t="str">
        <f>IF(A88&lt;&gt;"",'04B Silver Field Treatment'!Q89,"")</f>
        <v/>
      </c>
      <c r="N88" t="str">
        <f>IF(A88&lt;&gt;"",'04B Silver Field Treatment'!R89,"")</f>
        <v/>
      </c>
      <c r="O88" t="str">
        <f>IF(A88&lt;&gt;"",'04B Silver Field Treatment'!S89,"")</f>
        <v/>
      </c>
      <c r="P88" t="str">
        <f>IF(A88&lt;&gt;"",'04B Silver Field Treatment'!V89,"")</f>
        <v/>
      </c>
      <c r="Q88" t="str">
        <f>IF(A88&lt;&gt;"",'04B Silver Field Treatment'!W89,"")</f>
        <v/>
      </c>
    </row>
    <row r="89" spans="1:17" x14ac:dyDescent="0.25">
      <c r="A89" t="str">
        <f>IF('04B Silver Field Treatment'!A90&lt;&gt;"",'04B Silver Field Treatment'!A90,"")</f>
        <v/>
      </c>
      <c r="B89" t="str">
        <f>IF(A89&lt;&gt;"",'04B Silver Field Treatment'!B90,"")</f>
        <v/>
      </c>
      <c r="C89" t="str">
        <f>IF(A89&lt;&gt;"",'04B Silver Field Treatment'!C90,"")</f>
        <v/>
      </c>
      <c r="D89" t="str">
        <f>IF(A89&lt;&gt;"",'04B Silver Field Treatment'!#REF!,"")</f>
        <v/>
      </c>
      <c r="E89" t="str">
        <f>IF(A89&lt;&gt;"",'04B Silver Field Treatment'!D90,"")</f>
        <v/>
      </c>
      <c r="F89" t="str">
        <f>IF(A89&lt;&gt;"",'04B Silver Field Treatment'!F90,"")</f>
        <v/>
      </c>
      <c r="G89" t="str">
        <f>IF(A89&lt;&gt;"",'04B Silver Field Treatment'!K90,"")</f>
        <v/>
      </c>
      <c r="H89" t="str">
        <f>IF(A89&lt;&gt;"",'04B Silver Field Treatment'!L90,"")</f>
        <v/>
      </c>
      <c r="I89" t="str">
        <f>IF(A89&lt;&gt;"",'04B Silver Field Treatment'!M90,"")</f>
        <v/>
      </c>
      <c r="J89" t="str">
        <f>IF(A89&lt;&gt;"",'04B Silver Field Treatment'!N90,"")</f>
        <v/>
      </c>
      <c r="K89" t="str">
        <f>IF(A89&lt;&gt;"",'04B Silver Field Treatment'!O90,"")</f>
        <v/>
      </c>
      <c r="L89" t="str">
        <f>IF(A89&lt;&gt;"",'04B Silver Field Treatment'!P90,"")</f>
        <v/>
      </c>
      <c r="M89" t="str">
        <f>IF(A89&lt;&gt;"",'04B Silver Field Treatment'!Q90,"")</f>
        <v/>
      </c>
      <c r="N89" t="str">
        <f>IF(A89&lt;&gt;"",'04B Silver Field Treatment'!R90,"")</f>
        <v/>
      </c>
      <c r="O89" t="str">
        <f>IF(A89&lt;&gt;"",'04B Silver Field Treatment'!S90,"")</f>
        <v/>
      </c>
      <c r="P89" t="str">
        <f>IF(A89&lt;&gt;"",'04B Silver Field Treatment'!V90,"")</f>
        <v/>
      </c>
      <c r="Q89" t="str">
        <f>IF(A89&lt;&gt;"",'04B Silver Field Treatment'!W90,"")</f>
        <v/>
      </c>
    </row>
    <row r="90" spans="1:17" x14ac:dyDescent="0.25">
      <c r="A90" t="str">
        <f>IF('04B Silver Field Treatment'!A91&lt;&gt;"",'04B Silver Field Treatment'!A91,"")</f>
        <v/>
      </c>
      <c r="B90" t="str">
        <f>IF(A90&lt;&gt;"",'04B Silver Field Treatment'!B91,"")</f>
        <v/>
      </c>
      <c r="C90" t="str">
        <f>IF(A90&lt;&gt;"",'04B Silver Field Treatment'!C91,"")</f>
        <v/>
      </c>
      <c r="D90" t="str">
        <f>IF(A90&lt;&gt;"",'04B Silver Field Treatment'!#REF!,"")</f>
        <v/>
      </c>
      <c r="E90" t="str">
        <f>IF(A90&lt;&gt;"",'04B Silver Field Treatment'!D91,"")</f>
        <v/>
      </c>
      <c r="F90" t="str">
        <f>IF(A90&lt;&gt;"",'04B Silver Field Treatment'!F91,"")</f>
        <v/>
      </c>
      <c r="G90" t="str">
        <f>IF(A90&lt;&gt;"",'04B Silver Field Treatment'!K91,"")</f>
        <v/>
      </c>
      <c r="H90" t="str">
        <f>IF(A90&lt;&gt;"",'04B Silver Field Treatment'!L91,"")</f>
        <v/>
      </c>
      <c r="I90" t="str">
        <f>IF(A90&lt;&gt;"",'04B Silver Field Treatment'!M91,"")</f>
        <v/>
      </c>
      <c r="J90" t="str">
        <f>IF(A90&lt;&gt;"",'04B Silver Field Treatment'!N91,"")</f>
        <v/>
      </c>
      <c r="K90" t="str">
        <f>IF(A90&lt;&gt;"",'04B Silver Field Treatment'!O91,"")</f>
        <v/>
      </c>
      <c r="L90" t="str">
        <f>IF(A90&lt;&gt;"",'04B Silver Field Treatment'!P91,"")</f>
        <v/>
      </c>
      <c r="M90" t="str">
        <f>IF(A90&lt;&gt;"",'04B Silver Field Treatment'!Q91,"")</f>
        <v/>
      </c>
      <c r="N90" t="str">
        <f>IF(A90&lt;&gt;"",'04B Silver Field Treatment'!R91,"")</f>
        <v/>
      </c>
      <c r="O90" t="str">
        <f>IF(A90&lt;&gt;"",'04B Silver Field Treatment'!S91,"")</f>
        <v/>
      </c>
      <c r="P90" t="str">
        <f>IF(A90&lt;&gt;"",'04B Silver Field Treatment'!V91,"")</f>
        <v/>
      </c>
      <c r="Q90" t="str">
        <f>IF(A90&lt;&gt;"",'04B Silver Field Treatment'!W91,"")</f>
        <v/>
      </c>
    </row>
    <row r="91" spans="1:17" x14ac:dyDescent="0.25">
      <c r="A91" t="str">
        <f>IF('04B Silver Field Treatment'!A92&lt;&gt;"",'04B Silver Field Treatment'!A92,"")</f>
        <v/>
      </c>
      <c r="B91" t="str">
        <f>IF(A91&lt;&gt;"",'04B Silver Field Treatment'!B92,"")</f>
        <v/>
      </c>
      <c r="C91" t="str">
        <f>IF(A91&lt;&gt;"",'04B Silver Field Treatment'!C92,"")</f>
        <v/>
      </c>
      <c r="D91" t="str">
        <f>IF(A91&lt;&gt;"",'04B Silver Field Treatment'!#REF!,"")</f>
        <v/>
      </c>
      <c r="E91" t="str">
        <f>IF(A91&lt;&gt;"",'04B Silver Field Treatment'!D92,"")</f>
        <v/>
      </c>
      <c r="F91" t="str">
        <f>IF(A91&lt;&gt;"",'04B Silver Field Treatment'!F92,"")</f>
        <v/>
      </c>
      <c r="G91" t="str">
        <f>IF(A91&lt;&gt;"",'04B Silver Field Treatment'!K92,"")</f>
        <v/>
      </c>
      <c r="H91" t="str">
        <f>IF(A91&lt;&gt;"",'04B Silver Field Treatment'!L92,"")</f>
        <v/>
      </c>
      <c r="I91" t="str">
        <f>IF(A91&lt;&gt;"",'04B Silver Field Treatment'!M92,"")</f>
        <v/>
      </c>
      <c r="J91" t="str">
        <f>IF(A91&lt;&gt;"",'04B Silver Field Treatment'!N92,"")</f>
        <v/>
      </c>
      <c r="K91" t="str">
        <f>IF(A91&lt;&gt;"",'04B Silver Field Treatment'!O92,"")</f>
        <v/>
      </c>
      <c r="L91" t="str">
        <f>IF(A91&lt;&gt;"",'04B Silver Field Treatment'!P92,"")</f>
        <v/>
      </c>
      <c r="M91" t="str">
        <f>IF(A91&lt;&gt;"",'04B Silver Field Treatment'!Q92,"")</f>
        <v/>
      </c>
      <c r="N91" t="str">
        <f>IF(A91&lt;&gt;"",'04B Silver Field Treatment'!R92,"")</f>
        <v/>
      </c>
      <c r="O91" t="str">
        <f>IF(A91&lt;&gt;"",'04B Silver Field Treatment'!S92,"")</f>
        <v/>
      </c>
      <c r="P91" t="str">
        <f>IF(A91&lt;&gt;"",'04B Silver Field Treatment'!V92,"")</f>
        <v/>
      </c>
      <c r="Q91" t="str">
        <f>IF(A91&lt;&gt;"",'04B Silver Field Treatment'!W92,"")</f>
        <v/>
      </c>
    </row>
    <row r="92" spans="1:17" x14ac:dyDescent="0.25">
      <c r="A92" t="str">
        <f>IF('04B Silver Field Treatment'!A93&lt;&gt;"",'04B Silver Field Treatment'!A93,"")</f>
        <v/>
      </c>
      <c r="B92" t="str">
        <f>IF(A92&lt;&gt;"",'04B Silver Field Treatment'!B93,"")</f>
        <v/>
      </c>
      <c r="C92" t="str">
        <f>IF(A92&lt;&gt;"",'04B Silver Field Treatment'!C93,"")</f>
        <v/>
      </c>
      <c r="D92" t="str">
        <f>IF(A92&lt;&gt;"",'04B Silver Field Treatment'!#REF!,"")</f>
        <v/>
      </c>
      <c r="E92" t="str">
        <f>IF(A92&lt;&gt;"",'04B Silver Field Treatment'!D93,"")</f>
        <v/>
      </c>
      <c r="F92" t="str">
        <f>IF(A92&lt;&gt;"",'04B Silver Field Treatment'!F93,"")</f>
        <v/>
      </c>
      <c r="G92" t="str">
        <f>IF(A92&lt;&gt;"",'04B Silver Field Treatment'!K93,"")</f>
        <v/>
      </c>
      <c r="H92" t="str">
        <f>IF(A92&lt;&gt;"",'04B Silver Field Treatment'!L93,"")</f>
        <v/>
      </c>
      <c r="I92" t="str">
        <f>IF(A92&lt;&gt;"",'04B Silver Field Treatment'!M93,"")</f>
        <v/>
      </c>
      <c r="J92" t="str">
        <f>IF(A92&lt;&gt;"",'04B Silver Field Treatment'!N93,"")</f>
        <v/>
      </c>
      <c r="K92" t="str">
        <f>IF(A92&lt;&gt;"",'04B Silver Field Treatment'!O93,"")</f>
        <v/>
      </c>
      <c r="L92" t="str">
        <f>IF(A92&lt;&gt;"",'04B Silver Field Treatment'!P93,"")</f>
        <v/>
      </c>
      <c r="M92" t="str">
        <f>IF(A92&lt;&gt;"",'04B Silver Field Treatment'!Q93,"")</f>
        <v/>
      </c>
      <c r="N92" t="str">
        <f>IF(A92&lt;&gt;"",'04B Silver Field Treatment'!R93,"")</f>
        <v/>
      </c>
      <c r="O92" t="str">
        <f>IF(A92&lt;&gt;"",'04B Silver Field Treatment'!S93,"")</f>
        <v/>
      </c>
      <c r="P92" t="str">
        <f>IF(A92&lt;&gt;"",'04B Silver Field Treatment'!V93,"")</f>
        <v/>
      </c>
      <c r="Q92" t="str">
        <f>IF(A92&lt;&gt;"",'04B Silver Field Treatment'!W93,"")</f>
        <v/>
      </c>
    </row>
    <row r="93" spans="1:17" x14ac:dyDescent="0.25">
      <c r="A93" t="str">
        <f>IF('04B Silver Field Treatment'!A94&lt;&gt;"",'04B Silver Field Treatment'!A94,"")</f>
        <v/>
      </c>
      <c r="B93" t="str">
        <f>IF(A93&lt;&gt;"",'04B Silver Field Treatment'!B94,"")</f>
        <v/>
      </c>
      <c r="C93" t="str">
        <f>IF(A93&lt;&gt;"",'04B Silver Field Treatment'!C94,"")</f>
        <v/>
      </c>
      <c r="D93" t="str">
        <f>IF(A93&lt;&gt;"",'04B Silver Field Treatment'!#REF!,"")</f>
        <v/>
      </c>
      <c r="E93" t="str">
        <f>IF(A93&lt;&gt;"",'04B Silver Field Treatment'!D94,"")</f>
        <v/>
      </c>
      <c r="F93" t="str">
        <f>IF(A93&lt;&gt;"",'04B Silver Field Treatment'!F94,"")</f>
        <v/>
      </c>
      <c r="G93" t="str">
        <f>IF(A93&lt;&gt;"",'04B Silver Field Treatment'!K94,"")</f>
        <v/>
      </c>
      <c r="H93" t="str">
        <f>IF(A93&lt;&gt;"",'04B Silver Field Treatment'!L94,"")</f>
        <v/>
      </c>
      <c r="I93" t="str">
        <f>IF(A93&lt;&gt;"",'04B Silver Field Treatment'!M94,"")</f>
        <v/>
      </c>
      <c r="J93" t="str">
        <f>IF(A93&lt;&gt;"",'04B Silver Field Treatment'!N94,"")</f>
        <v/>
      </c>
      <c r="K93" t="str">
        <f>IF(A93&lt;&gt;"",'04B Silver Field Treatment'!O94,"")</f>
        <v/>
      </c>
      <c r="L93" t="str">
        <f>IF(A93&lt;&gt;"",'04B Silver Field Treatment'!P94,"")</f>
        <v/>
      </c>
      <c r="M93" t="str">
        <f>IF(A93&lt;&gt;"",'04B Silver Field Treatment'!Q94,"")</f>
        <v/>
      </c>
      <c r="N93" t="str">
        <f>IF(A93&lt;&gt;"",'04B Silver Field Treatment'!R94,"")</f>
        <v/>
      </c>
      <c r="O93" t="str">
        <f>IF(A93&lt;&gt;"",'04B Silver Field Treatment'!S94,"")</f>
        <v/>
      </c>
      <c r="P93" t="str">
        <f>IF(A93&lt;&gt;"",'04B Silver Field Treatment'!V94,"")</f>
        <v/>
      </c>
      <c r="Q93" t="str">
        <f>IF(A93&lt;&gt;"",'04B Silver Field Treatment'!W94,"")</f>
        <v/>
      </c>
    </row>
    <row r="94" spans="1:17" x14ac:dyDescent="0.25">
      <c r="A94" t="str">
        <f>IF('04B Silver Field Treatment'!A95&lt;&gt;"",'04B Silver Field Treatment'!A95,"")</f>
        <v/>
      </c>
      <c r="B94" t="str">
        <f>IF(A94&lt;&gt;"",'04B Silver Field Treatment'!B95,"")</f>
        <v/>
      </c>
      <c r="C94" t="str">
        <f>IF(A94&lt;&gt;"",'04B Silver Field Treatment'!C95,"")</f>
        <v/>
      </c>
      <c r="D94" t="str">
        <f>IF(A94&lt;&gt;"",'04B Silver Field Treatment'!#REF!,"")</f>
        <v/>
      </c>
      <c r="E94" t="str">
        <f>IF(A94&lt;&gt;"",'04B Silver Field Treatment'!D95,"")</f>
        <v/>
      </c>
      <c r="F94" t="str">
        <f>IF(A94&lt;&gt;"",'04B Silver Field Treatment'!F95,"")</f>
        <v/>
      </c>
      <c r="G94" t="str">
        <f>IF(A94&lt;&gt;"",'04B Silver Field Treatment'!K95,"")</f>
        <v/>
      </c>
      <c r="H94" t="str">
        <f>IF(A94&lt;&gt;"",'04B Silver Field Treatment'!L95,"")</f>
        <v/>
      </c>
      <c r="I94" t="str">
        <f>IF(A94&lt;&gt;"",'04B Silver Field Treatment'!M95,"")</f>
        <v/>
      </c>
      <c r="J94" t="str">
        <f>IF(A94&lt;&gt;"",'04B Silver Field Treatment'!N95,"")</f>
        <v/>
      </c>
      <c r="K94" t="str">
        <f>IF(A94&lt;&gt;"",'04B Silver Field Treatment'!O95,"")</f>
        <v/>
      </c>
      <c r="L94" t="str">
        <f>IF(A94&lt;&gt;"",'04B Silver Field Treatment'!P95,"")</f>
        <v/>
      </c>
      <c r="M94" t="str">
        <f>IF(A94&lt;&gt;"",'04B Silver Field Treatment'!Q95,"")</f>
        <v/>
      </c>
      <c r="N94" t="str">
        <f>IF(A94&lt;&gt;"",'04B Silver Field Treatment'!R95,"")</f>
        <v/>
      </c>
      <c r="O94" t="str">
        <f>IF(A94&lt;&gt;"",'04B Silver Field Treatment'!S95,"")</f>
        <v/>
      </c>
      <c r="P94" t="str">
        <f>IF(A94&lt;&gt;"",'04B Silver Field Treatment'!V95,"")</f>
        <v/>
      </c>
      <c r="Q94" t="str">
        <f>IF(A94&lt;&gt;"",'04B Silver Field Treatment'!W95,"")</f>
        <v/>
      </c>
    </row>
    <row r="95" spans="1:17" x14ac:dyDescent="0.25">
      <c r="A95" t="str">
        <f>IF('04B Silver Field Treatment'!A96&lt;&gt;"",'04B Silver Field Treatment'!A96,"")</f>
        <v/>
      </c>
      <c r="B95" t="str">
        <f>IF(A95&lt;&gt;"",'04B Silver Field Treatment'!B96,"")</f>
        <v/>
      </c>
      <c r="C95" t="str">
        <f>IF(A95&lt;&gt;"",'04B Silver Field Treatment'!C96,"")</f>
        <v/>
      </c>
      <c r="D95" t="str">
        <f>IF(A95&lt;&gt;"",'04B Silver Field Treatment'!#REF!,"")</f>
        <v/>
      </c>
      <c r="E95" t="str">
        <f>IF(A95&lt;&gt;"",'04B Silver Field Treatment'!D96,"")</f>
        <v/>
      </c>
      <c r="F95" t="str">
        <f>IF(A95&lt;&gt;"",'04B Silver Field Treatment'!F96,"")</f>
        <v/>
      </c>
      <c r="G95" t="str">
        <f>IF(A95&lt;&gt;"",'04B Silver Field Treatment'!K96,"")</f>
        <v/>
      </c>
      <c r="H95" t="str">
        <f>IF(A95&lt;&gt;"",'04B Silver Field Treatment'!L96,"")</f>
        <v/>
      </c>
      <c r="I95" t="str">
        <f>IF(A95&lt;&gt;"",'04B Silver Field Treatment'!M96,"")</f>
        <v/>
      </c>
      <c r="J95" t="str">
        <f>IF(A95&lt;&gt;"",'04B Silver Field Treatment'!N96,"")</f>
        <v/>
      </c>
      <c r="K95" t="str">
        <f>IF(A95&lt;&gt;"",'04B Silver Field Treatment'!O96,"")</f>
        <v/>
      </c>
      <c r="L95" t="str">
        <f>IF(A95&lt;&gt;"",'04B Silver Field Treatment'!P96,"")</f>
        <v/>
      </c>
      <c r="M95" t="str">
        <f>IF(A95&lt;&gt;"",'04B Silver Field Treatment'!Q96,"")</f>
        <v/>
      </c>
      <c r="N95" t="str">
        <f>IF(A95&lt;&gt;"",'04B Silver Field Treatment'!R96,"")</f>
        <v/>
      </c>
      <c r="O95" t="str">
        <f>IF(A95&lt;&gt;"",'04B Silver Field Treatment'!S96,"")</f>
        <v/>
      </c>
      <c r="P95" t="str">
        <f>IF(A95&lt;&gt;"",'04B Silver Field Treatment'!V96,"")</f>
        <v/>
      </c>
      <c r="Q95" t="str">
        <f>IF(A95&lt;&gt;"",'04B Silver Field Treatment'!W96,"")</f>
        <v/>
      </c>
    </row>
    <row r="96" spans="1:17" x14ac:dyDescent="0.25">
      <c r="A96" t="str">
        <f>IF('04B Silver Field Treatment'!A97&lt;&gt;"",'04B Silver Field Treatment'!A97,"")</f>
        <v/>
      </c>
      <c r="B96" t="str">
        <f>IF(A96&lt;&gt;"",'04B Silver Field Treatment'!B97,"")</f>
        <v/>
      </c>
      <c r="C96" t="str">
        <f>IF(A96&lt;&gt;"",'04B Silver Field Treatment'!C97,"")</f>
        <v/>
      </c>
      <c r="D96" t="str">
        <f>IF(A96&lt;&gt;"",'04B Silver Field Treatment'!#REF!,"")</f>
        <v/>
      </c>
      <c r="E96" t="str">
        <f>IF(A96&lt;&gt;"",'04B Silver Field Treatment'!D97,"")</f>
        <v/>
      </c>
      <c r="F96" t="str">
        <f>IF(A96&lt;&gt;"",'04B Silver Field Treatment'!F97,"")</f>
        <v/>
      </c>
      <c r="G96" t="str">
        <f>IF(A96&lt;&gt;"",'04B Silver Field Treatment'!K97,"")</f>
        <v/>
      </c>
      <c r="H96" t="str">
        <f>IF(A96&lt;&gt;"",'04B Silver Field Treatment'!L97,"")</f>
        <v/>
      </c>
      <c r="I96" t="str">
        <f>IF(A96&lt;&gt;"",'04B Silver Field Treatment'!M97,"")</f>
        <v/>
      </c>
      <c r="J96" t="str">
        <f>IF(A96&lt;&gt;"",'04B Silver Field Treatment'!N97,"")</f>
        <v/>
      </c>
      <c r="K96" t="str">
        <f>IF(A96&lt;&gt;"",'04B Silver Field Treatment'!O97,"")</f>
        <v/>
      </c>
      <c r="L96" t="str">
        <f>IF(A96&lt;&gt;"",'04B Silver Field Treatment'!P97,"")</f>
        <v/>
      </c>
      <c r="M96" t="str">
        <f>IF(A96&lt;&gt;"",'04B Silver Field Treatment'!Q97,"")</f>
        <v/>
      </c>
      <c r="N96" t="str">
        <f>IF(A96&lt;&gt;"",'04B Silver Field Treatment'!R97,"")</f>
        <v/>
      </c>
      <c r="O96" t="str">
        <f>IF(A96&lt;&gt;"",'04B Silver Field Treatment'!S97,"")</f>
        <v/>
      </c>
      <c r="P96" t="str">
        <f>IF(A96&lt;&gt;"",'04B Silver Field Treatment'!V97,"")</f>
        <v/>
      </c>
      <c r="Q96" t="str">
        <f>IF(A96&lt;&gt;"",'04B Silver Field Treatment'!W97,"")</f>
        <v/>
      </c>
    </row>
    <row r="97" spans="1:17" x14ac:dyDescent="0.25">
      <c r="A97" t="str">
        <f>IF('04B Silver Field Treatment'!A98&lt;&gt;"",'04B Silver Field Treatment'!A98,"")</f>
        <v/>
      </c>
      <c r="B97" t="str">
        <f>IF(A97&lt;&gt;"",'04B Silver Field Treatment'!B98,"")</f>
        <v/>
      </c>
      <c r="C97" t="str">
        <f>IF(A97&lt;&gt;"",'04B Silver Field Treatment'!C98,"")</f>
        <v/>
      </c>
      <c r="D97" t="str">
        <f>IF(A97&lt;&gt;"",'04B Silver Field Treatment'!#REF!,"")</f>
        <v/>
      </c>
      <c r="E97" t="str">
        <f>IF(A97&lt;&gt;"",'04B Silver Field Treatment'!D98,"")</f>
        <v/>
      </c>
      <c r="F97" t="str">
        <f>IF(A97&lt;&gt;"",'04B Silver Field Treatment'!F98,"")</f>
        <v/>
      </c>
      <c r="G97" t="str">
        <f>IF(A97&lt;&gt;"",'04B Silver Field Treatment'!K98,"")</f>
        <v/>
      </c>
      <c r="H97" t="str">
        <f>IF(A97&lt;&gt;"",'04B Silver Field Treatment'!L98,"")</f>
        <v/>
      </c>
      <c r="I97" t="str">
        <f>IF(A97&lt;&gt;"",'04B Silver Field Treatment'!M98,"")</f>
        <v/>
      </c>
      <c r="J97" t="str">
        <f>IF(A97&lt;&gt;"",'04B Silver Field Treatment'!N98,"")</f>
        <v/>
      </c>
      <c r="K97" t="str">
        <f>IF(A97&lt;&gt;"",'04B Silver Field Treatment'!O98,"")</f>
        <v/>
      </c>
      <c r="L97" t="str">
        <f>IF(A97&lt;&gt;"",'04B Silver Field Treatment'!P98,"")</f>
        <v/>
      </c>
      <c r="M97" t="str">
        <f>IF(A97&lt;&gt;"",'04B Silver Field Treatment'!Q98,"")</f>
        <v/>
      </c>
      <c r="N97" t="str">
        <f>IF(A97&lt;&gt;"",'04B Silver Field Treatment'!R98,"")</f>
        <v/>
      </c>
      <c r="O97" t="str">
        <f>IF(A97&lt;&gt;"",'04B Silver Field Treatment'!S98,"")</f>
        <v/>
      </c>
      <c r="P97" t="str">
        <f>IF(A97&lt;&gt;"",'04B Silver Field Treatment'!V98,"")</f>
        <v/>
      </c>
      <c r="Q97" t="str">
        <f>IF(A97&lt;&gt;"",'04B Silver Field Treatment'!W98,"")</f>
        <v/>
      </c>
    </row>
    <row r="98" spans="1:17" x14ac:dyDescent="0.25">
      <c r="A98" t="str">
        <f>IF('04B Silver Field Treatment'!A99&lt;&gt;"",'04B Silver Field Treatment'!A99,"")</f>
        <v/>
      </c>
      <c r="B98" t="str">
        <f>IF(A98&lt;&gt;"",'04B Silver Field Treatment'!B99,"")</f>
        <v/>
      </c>
      <c r="C98" t="str">
        <f>IF(A98&lt;&gt;"",'04B Silver Field Treatment'!C99,"")</f>
        <v/>
      </c>
      <c r="D98" t="str">
        <f>IF(A98&lt;&gt;"",'04B Silver Field Treatment'!#REF!,"")</f>
        <v/>
      </c>
      <c r="E98" t="str">
        <f>IF(A98&lt;&gt;"",'04B Silver Field Treatment'!D99,"")</f>
        <v/>
      </c>
      <c r="F98" t="str">
        <f>IF(A98&lt;&gt;"",'04B Silver Field Treatment'!F99,"")</f>
        <v/>
      </c>
      <c r="G98" t="str">
        <f>IF(A98&lt;&gt;"",'04B Silver Field Treatment'!K99,"")</f>
        <v/>
      </c>
      <c r="H98" t="str">
        <f>IF(A98&lt;&gt;"",'04B Silver Field Treatment'!L99,"")</f>
        <v/>
      </c>
      <c r="I98" t="str">
        <f>IF(A98&lt;&gt;"",'04B Silver Field Treatment'!M99,"")</f>
        <v/>
      </c>
      <c r="J98" t="str">
        <f>IF(A98&lt;&gt;"",'04B Silver Field Treatment'!N99,"")</f>
        <v/>
      </c>
      <c r="K98" t="str">
        <f>IF(A98&lt;&gt;"",'04B Silver Field Treatment'!O99,"")</f>
        <v/>
      </c>
      <c r="L98" t="str">
        <f>IF(A98&lt;&gt;"",'04B Silver Field Treatment'!P99,"")</f>
        <v/>
      </c>
      <c r="M98" t="str">
        <f>IF(A98&lt;&gt;"",'04B Silver Field Treatment'!Q99,"")</f>
        <v/>
      </c>
      <c r="N98" t="str">
        <f>IF(A98&lt;&gt;"",'04B Silver Field Treatment'!R99,"")</f>
        <v/>
      </c>
      <c r="O98" t="str">
        <f>IF(A98&lt;&gt;"",'04B Silver Field Treatment'!S99,"")</f>
        <v/>
      </c>
      <c r="P98" t="str">
        <f>IF(A98&lt;&gt;"",'04B Silver Field Treatment'!V99,"")</f>
        <v/>
      </c>
      <c r="Q98" t="str">
        <f>IF(A98&lt;&gt;"",'04B Silver Field Treatment'!W99,"")</f>
        <v/>
      </c>
    </row>
    <row r="99" spans="1:17" x14ac:dyDescent="0.25">
      <c r="A99" t="str">
        <f>IF('04B Silver Field Treatment'!A100&lt;&gt;"",'04B Silver Field Treatment'!A100,"")</f>
        <v/>
      </c>
      <c r="B99" t="str">
        <f>IF(A99&lt;&gt;"",'04B Silver Field Treatment'!B100,"")</f>
        <v/>
      </c>
      <c r="C99" t="str">
        <f>IF(A99&lt;&gt;"",'04B Silver Field Treatment'!C100,"")</f>
        <v/>
      </c>
      <c r="D99" t="str">
        <f>IF(A99&lt;&gt;"",'04B Silver Field Treatment'!#REF!,"")</f>
        <v/>
      </c>
      <c r="E99" t="str">
        <f>IF(A99&lt;&gt;"",'04B Silver Field Treatment'!D100,"")</f>
        <v/>
      </c>
      <c r="F99" t="str">
        <f>IF(A99&lt;&gt;"",'04B Silver Field Treatment'!F100,"")</f>
        <v/>
      </c>
      <c r="G99" t="str">
        <f>IF(A99&lt;&gt;"",'04B Silver Field Treatment'!K100,"")</f>
        <v/>
      </c>
      <c r="H99" t="str">
        <f>IF(A99&lt;&gt;"",'04B Silver Field Treatment'!L100,"")</f>
        <v/>
      </c>
      <c r="I99" t="str">
        <f>IF(A99&lt;&gt;"",'04B Silver Field Treatment'!M100,"")</f>
        <v/>
      </c>
      <c r="J99" t="str">
        <f>IF(A99&lt;&gt;"",'04B Silver Field Treatment'!N100,"")</f>
        <v/>
      </c>
      <c r="K99" t="str">
        <f>IF(A99&lt;&gt;"",'04B Silver Field Treatment'!O100,"")</f>
        <v/>
      </c>
      <c r="L99" t="str">
        <f>IF(A99&lt;&gt;"",'04B Silver Field Treatment'!P100,"")</f>
        <v/>
      </c>
      <c r="M99" t="str">
        <f>IF(A99&lt;&gt;"",'04B Silver Field Treatment'!Q100,"")</f>
        <v/>
      </c>
      <c r="N99" t="str">
        <f>IF(A99&lt;&gt;"",'04B Silver Field Treatment'!R100,"")</f>
        <v/>
      </c>
      <c r="O99" t="str">
        <f>IF(A99&lt;&gt;"",'04B Silver Field Treatment'!S100,"")</f>
        <v/>
      </c>
      <c r="P99" t="str">
        <f>IF(A99&lt;&gt;"",'04B Silver Field Treatment'!V100,"")</f>
        <v/>
      </c>
      <c r="Q99" t="str">
        <f>IF(A99&lt;&gt;"",'04B Silver Field Treatment'!W100,"")</f>
        <v/>
      </c>
    </row>
    <row r="100" spans="1:17" x14ac:dyDescent="0.25">
      <c r="A100" t="str">
        <f>IF('04B Silver Field Treatment'!A101&lt;&gt;"",'04B Silver Field Treatment'!A101,"")</f>
        <v/>
      </c>
      <c r="B100" t="str">
        <f>IF(A100&lt;&gt;"",'04B Silver Field Treatment'!B101,"")</f>
        <v/>
      </c>
      <c r="C100" t="str">
        <f>IF(A100&lt;&gt;"",'04B Silver Field Treatment'!C101,"")</f>
        <v/>
      </c>
      <c r="D100" t="str">
        <f>IF(A100&lt;&gt;"",'04B Silver Field Treatment'!#REF!,"")</f>
        <v/>
      </c>
      <c r="E100" t="str">
        <f>IF(A100&lt;&gt;"",'04B Silver Field Treatment'!D101,"")</f>
        <v/>
      </c>
      <c r="F100" t="str">
        <f>IF(A100&lt;&gt;"",'04B Silver Field Treatment'!F101,"")</f>
        <v/>
      </c>
      <c r="G100" t="str">
        <f>IF(A100&lt;&gt;"",'04B Silver Field Treatment'!K101,"")</f>
        <v/>
      </c>
      <c r="H100" t="str">
        <f>IF(A100&lt;&gt;"",'04B Silver Field Treatment'!L101,"")</f>
        <v/>
      </c>
      <c r="I100" t="str">
        <f>IF(A100&lt;&gt;"",'04B Silver Field Treatment'!M101,"")</f>
        <v/>
      </c>
      <c r="J100" t="str">
        <f>IF(A100&lt;&gt;"",'04B Silver Field Treatment'!N101,"")</f>
        <v/>
      </c>
      <c r="K100" t="str">
        <f>IF(A100&lt;&gt;"",'04B Silver Field Treatment'!O101,"")</f>
        <v/>
      </c>
      <c r="L100" t="str">
        <f>IF(A100&lt;&gt;"",'04B Silver Field Treatment'!P101,"")</f>
        <v/>
      </c>
      <c r="M100" t="str">
        <f>IF(A100&lt;&gt;"",'04B Silver Field Treatment'!Q101,"")</f>
        <v/>
      </c>
      <c r="N100" t="str">
        <f>IF(A100&lt;&gt;"",'04B Silver Field Treatment'!R101,"")</f>
        <v/>
      </c>
      <c r="O100" t="str">
        <f>IF(A100&lt;&gt;"",'04B Silver Field Treatment'!S101,"")</f>
        <v/>
      </c>
      <c r="P100" t="str">
        <f>IF(A100&lt;&gt;"",'04B Silver Field Treatment'!V101,"")</f>
        <v/>
      </c>
      <c r="Q100" t="str">
        <f>IF(A100&lt;&gt;"",'04B Silver Field Treatment'!W101,"")</f>
        <v/>
      </c>
    </row>
    <row r="101" spans="1:17" x14ac:dyDescent="0.25">
      <c r="A101" t="str">
        <f>IF('04B Silver Field Treatment'!A102&lt;&gt;"",'04B Silver Field Treatment'!A102,"")</f>
        <v/>
      </c>
      <c r="B101" t="str">
        <f>IF(A101&lt;&gt;"",'04B Silver Field Treatment'!B102,"")</f>
        <v/>
      </c>
      <c r="C101" t="str">
        <f>IF(A101&lt;&gt;"",'04B Silver Field Treatment'!C102,"")</f>
        <v/>
      </c>
      <c r="D101" t="str">
        <f>IF(A101&lt;&gt;"",'04B Silver Field Treatment'!#REF!,"")</f>
        <v/>
      </c>
      <c r="E101" t="str">
        <f>IF(A101&lt;&gt;"",'04B Silver Field Treatment'!D102,"")</f>
        <v/>
      </c>
      <c r="F101" t="str">
        <f>IF(A101&lt;&gt;"",'04B Silver Field Treatment'!F102,"")</f>
        <v/>
      </c>
      <c r="G101" t="str">
        <f>IF(A101&lt;&gt;"",'04B Silver Field Treatment'!K102,"")</f>
        <v/>
      </c>
      <c r="H101" t="str">
        <f>IF(A101&lt;&gt;"",'04B Silver Field Treatment'!L102,"")</f>
        <v/>
      </c>
      <c r="I101" t="str">
        <f>IF(A101&lt;&gt;"",'04B Silver Field Treatment'!M102,"")</f>
        <v/>
      </c>
      <c r="J101" t="str">
        <f>IF(A101&lt;&gt;"",'04B Silver Field Treatment'!N102,"")</f>
        <v/>
      </c>
      <c r="K101" t="str">
        <f>IF(A101&lt;&gt;"",'04B Silver Field Treatment'!O102,"")</f>
        <v/>
      </c>
      <c r="L101" t="str">
        <f>IF(A101&lt;&gt;"",'04B Silver Field Treatment'!P102,"")</f>
        <v/>
      </c>
      <c r="M101" t="str">
        <f>IF(A101&lt;&gt;"",'04B Silver Field Treatment'!Q102,"")</f>
        <v/>
      </c>
      <c r="N101" t="str">
        <f>IF(A101&lt;&gt;"",'04B Silver Field Treatment'!R102,"")</f>
        <v/>
      </c>
      <c r="O101" t="str">
        <f>IF(A101&lt;&gt;"",'04B Silver Field Treatment'!S102,"")</f>
        <v/>
      </c>
      <c r="P101" t="str">
        <f>IF(A101&lt;&gt;"",'04B Silver Field Treatment'!V102,"")</f>
        <v/>
      </c>
      <c r="Q101" t="str">
        <f>IF(A101&lt;&gt;"",'04B Silver Field Treatment'!W102,"")</f>
        <v/>
      </c>
    </row>
    <row r="102" spans="1:17" x14ac:dyDescent="0.25">
      <c r="A102" t="str">
        <f>IF('04B Silver Field Treatment'!A103&lt;&gt;"",'04B Silver Field Treatment'!A103,"")</f>
        <v/>
      </c>
      <c r="B102" t="str">
        <f>IF(A102&lt;&gt;"",'04B Silver Field Treatment'!B103,"")</f>
        <v/>
      </c>
      <c r="C102" t="str">
        <f>IF(A102&lt;&gt;"",'04B Silver Field Treatment'!C103,"")</f>
        <v/>
      </c>
      <c r="D102" t="str">
        <f>IF(A102&lt;&gt;"",'04B Silver Field Treatment'!#REF!,"")</f>
        <v/>
      </c>
      <c r="E102" t="str">
        <f>IF(A102&lt;&gt;"",'04B Silver Field Treatment'!D103,"")</f>
        <v/>
      </c>
      <c r="F102" t="str">
        <f>IF(A102&lt;&gt;"",'04B Silver Field Treatment'!F103,"")</f>
        <v/>
      </c>
      <c r="G102" t="str">
        <f>IF(A102&lt;&gt;"",'04B Silver Field Treatment'!K103,"")</f>
        <v/>
      </c>
      <c r="H102" t="str">
        <f>IF(A102&lt;&gt;"",'04B Silver Field Treatment'!L103,"")</f>
        <v/>
      </c>
      <c r="I102" t="str">
        <f>IF(A102&lt;&gt;"",'04B Silver Field Treatment'!M103,"")</f>
        <v/>
      </c>
      <c r="J102" t="str">
        <f>IF(A102&lt;&gt;"",'04B Silver Field Treatment'!N103,"")</f>
        <v/>
      </c>
      <c r="K102" t="str">
        <f>IF(A102&lt;&gt;"",'04B Silver Field Treatment'!O103,"")</f>
        <v/>
      </c>
      <c r="L102" t="str">
        <f>IF(A102&lt;&gt;"",'04B Silver Field Treatment'!P103,"")</f>
        <v/>
      </c>
      <c r="M102" t="str">
        <f>IF(A102&lt;&gt;"",'04B Silver Field Treatment'!Q103,"")</f>
        <v/>
      </c>
      <c r="N102" t="str">
        <f>IF(A102&lt;&gt;"",'04B Silver Field Treatment'!R103,"")</f>
        <v/>
      </c>
      <c r="O102" t="str">
        <f>IF(A102&lt;&gt;"",'04B Silver Field Treatment'!S103,"")</f>
        <v/>
      </c>
      <c r="P102" t="str">
        <f>IF(A102&lt;&gt;"",'04B Silver Field Treatment'!V103,"")</f>
        <v/>
      </c>
      <c r="Q102" t="str">
        <f>IF(A102&lt;&gt;"",'04B Silver Field Treatment'!W103,"")</f>
        <v/>
      </c>
    </row>
    <row r="103" spans="1:17" x14ac:dyDescent="0.25">
      <c r="A103" t="str">
        <f>IF('04B Silver Field Treatment'!A104&lt;&gt;"",'04B Silver Field Treatment'!A104,"")</f>
        <v/>
      </c>
      <c r="B103" t="str">
        <f>IF(A103&lt;&gt;"",'04B Silver Field Treatment'!B104,"")</f>
        <v/>
      </c>
      <c r="C103" t="str">
        <f>IF(A103&lt;&gt;"",'04B Silver Field Treatment'!C104,"")</f>
        <v/>
      </c>
      <c r="D103" t="str">
        <f>IF(A103&lt;&gt;"",'04B Silver Field Treatment'!#REF!,"")</f>
        <v/>
      </c>
      <c r="E103" t="str">
        <f>IF(A103&lt;&gt;"",'04B Silver Field Treatment'!D104,"")</f>
        <v/>
      </c>
      <c r="F103" t="str">
        <f>IF(A103&lt;&gt;"",'04B Silver Field Treatment'!F104,"")</f>
        <v/>
      </c>
      <c r="G103" t="str">
        <f>IF(A103&lt;&gt;"",'04B Silver Field Treatment'!K104,"")</f>
        <v/>
      </c>
      <c r="H103" t="str">
        <f>IF(A103&lt;&gt;"",'04B Silver Field Treatment'!L104,"")</f>
        <v/>
      </c>
      <c r="I103" t="str">
        <f>IF(A103&lt;&gt;"",'04B Silver Field Treatment'!M104,"")</f>
        <v/>
      </c>
      <c r="J103" t="str">
        <f>IF(A103&lt;&gt;"",'04B Silver Field Treatment'!N104,"")</f>
        <v/>
      </c>
      <c r="K103" t="str">
        <f>IF(A103&lt;&gt;"",'04B Silver Field Treatment'!O104,"")</f>
        <v/>
      </c>
      <c r="L103" t="str">
        <f>IF(A103&lt;&gt;"",'04B Silver Field Treatment'!P104,"")</f>
        <v/>
      </c>
      <c r="M103" t="str">
        <f>IF(A103&lt;&gt;"",'04B Silver Field Treatment'!Q104,"")</f>
        <v/>
      </c>
      <c r="N103" t="str">
        <f>IF(A103&lt;&gt;"",'04B Silver Field Treatment'!R104,"")</f>
        <v/>
      </c>
      <c r="O103" t="str">
        <f>IF(A103&lt;&gt;"",'04B Silver Field Treatment'!S104,"")</f>
        <v/>
      </c>
      <c r="P103" t="str">
        <f>IF(A103&lt;&gt;"",'04B Silver Field Treatment'!V104,"")</f>
        <v/>
      </c>
      <c r="Q103" t="str">
        <f>IF(A103&lt;&gt;"",'04B Silver Field Treatment'!W104,"")</f>
        <v/>
      </c>
    </row>
    <row r="104" spans="1:17" x14ac:dyDescent="0.25">
      <c r="A104" t="str">
        <f>IF('04B Silver Field Treatment'!A105&lt;&gt;"",'04B Silver Field Treatment'!A105,"")</f>
        <v/>
      </c>
      <c r="B104" t="str">
        <f>IF(A104&lt;&gt;"",'04B Silver Field Treatment'!B105,"")</f>
        <v/>
      </c>
      <c r="C104" t="str">
        <f>IF(A104&lt;&gt;"",'04B Silver Field Treatment'!C105,"")</f>
        <v/>
      </c>
      <c r="D104" t="str">
        <f>IF(A104&lt;&gt;"",'04B Silver Field Treatment'!#REF!,"")</f>
        <v/>
      </c>
      <c r="E104" t="str">
        <f>IF(A104&lt;&gt;"",'04B Silver Field Treatment'!D105,"")</f>
        <v/>
      </c>
      <c r="F104" t="str">
        <f>IF(A104&lt;&gt;"",'04B Silver Field Treatment'!F105,"")</f>
        <v/>
      </c>
      <c r="G104" t="str">
        <f>IF(A104&lt;&gt;"",'04B Silver Field Treatment'!K105,"")</f>
        <v/>
      </c>
      <c r="H104" t="str">
        <f>IF(A104&lt;&gt;"",'04B Silver Field Treatment'!L105,"")</f>
        <v/>
      </c>
      <c r="I104" t="str">
        <f>IF(A104&lt;&gt;"",'04B Silver Field Treatment'!M105,"")</f>
        <v/>
      </c>
      <c r="J104" t="str">
        <f>IF(A104&lt;&gt;"",'04B Silver Field Treatment'!N105,"")</f>
        <v/>
      </c>
      <c r="K104" t="str">
        <f>IF(A104&lt;&gt;"",'04B Silver Field Treatment'!O105,"")</f>
        <v/>
      </c>
      <c r="L104" t="str">
        <f>IF(A104&lt;&gt;"",'04B Silver Field Treatment'!P105,"")</f>
        <v/>
      </c>
      <c r="M104" t="str">
        <f>IF(A104&lt;&gt;"",'04B Silver Field Treatment'!Q105,"")</f>
        <v/>
      </c>
      <c r="N104" t="str">
        <f>IF(A104&lt;&gt;"",'04B Silver Field Treatment'!R105,"")</f>
        <v/>
      </c>
      <c r="O104" t="str">
        <f>IF(A104&lt;&gt;"",'04B Silver Field Treatment'!S105,"")</f>
        <v/>
      </c>
      <c r="P104" t="str">
        <f>IF(A104&lt;&gt;"",'04B Silver Field Treatment'!V105,"")</f>
        <v/>
      </c>
      <c r="Q104" t="str">
        <f>IF(A104&lt;&gt;"",'04B Silver Field Treatment'!W105,"")</f>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04"/>
  <sheetViews>
    <sheetView workbookViewId="0">
      <pane ySplit="3" topLeftCell="A4" activePane="bottomLeft" state="frozen"/>
      <selection pane="bottomLeft"/>
    </sheetView>
  </sheetViews>
  <sheetFormatPr defaultRowHeight="15" x14ac:dyDescent="0.25"/>
  <cols>
    <col min="1" max="2" width="18" style="1" customWidth="1"/>
    <col min="3" max="3" width="20" style="1" customWidth="1"/>
    <col min="4" max="4" width="14" style="1" customWidth="1"/>
    <col min="5" max="6" width="18" style="1" customWidth="1"/>
    <col min="7" max="7" width="20" style="1" customWidth="1"/>
    <col min="8" max="8" width="14" style="1" customWidth="1"/>
    <col min="9" max="9" width="16" style="1" customWidth="1"/>
    <col min="10" max="10" width="26" style="1" customWidth="1"/>
    <col min="11" max="11" width="28" style="1" customWidth="1"/>
    <col min="12" max="12" width="14" style="1" customWidth="1"/>
    <col min="13" max="13" width="16" style="1" customWidth="1"/>
    <col min="14" max="14" width="18" style="1" customWidth="1"/>
    <col min="15" max="15" width="14" style="1" customWidth="1"/>
    <col min="16" max="16" width="22" style="1" customWidth="1"/>
    <col min="17" max="17" width="18" style="1" customWidth="1"/>
    <col min="18" max="18" width="16" style="1" customWidth="1"/>
    <col min="19" max="19" width="14" style="1" customWidth="1"/>
    <col min="20" max="21" width="16" style="1" customWidth="1"/>
    <col min="22" max="22" width="14" style="1" customWidth="1"/>
  </cols>
  <sheetData>
    <row r="1" spans="1:17" ht="24" customHeight="1" x14ac:dyDescent="0.25">
      <c r="A1" s="53" t="s">
        <v>587</v>
      </c>
      <c r="B1" s="53"/>
      <c r="C1" s="53"/>
      <c r="D1" s="53"/>
      <c r="E1" s="53"/>
      <c r="F1" s="53"/>
      <c r="G1" s="53"/>
      <c r="H1" s="53"/>
      <c r="I1" s="53"/>
      <c r="J1" s="53"/>
      <c r="K1" s="53"/>
      <c r="L1" s="53"/>
      <c r="M1" s="53"/>
      <c r="N1" s="53"/>
      <c r="O1" s="53"/>
      <c r="P1" s="53"/>
      <c r="Q1" s="53"/>
    </row>
    <row r="2" spans="1:17" ht="33.950000000000003" customHeight="1" x14ac:dyDescent="0.25">
      <c r="A2" s="54" t="s">
        <v>588</v>
      </c>
      <c r="B2" s="54"/>
      <c r="C2" s="54"/>
      <c r="D2" s="54"/>
      <c r="E2" s="54"/>
      <c r="F2" s="54"/>
      <c r="G2" s="54"/>
      <c r="H2" s="54"/>
      <c r="I2" s="54"/>
      <c r="J2" s="54"/>
      <c r="K2" s="54"/>
      <c r="L2" s="54"/>
      <c r="M2" s="54"/>
      <c r="N2" s="54"/>
      <c r="O2" s="54"/>
      <c r="P2" s="54"/>
      <c r="Q2" s="54"/>
    </row>
    <row r="4" spans="1:17" ht="20.100000000000001" customHeight="1" x14ac:dyDescent="0.25">
      <c r="A4" s="55" t="s">
        <v>93</v>
      </c>
      <c r="B4" s="55" t="s">
        <v>195</v>
      </c>
      <c r="C4" s="55" t="s">
        <v>197</v>
      </c>
      <c r="D4" s="55" t="s">
        <v>217</v>
      </c>
      <c r="E4" s="55" t="s">
        <v>218</v>
      </c>
      <c r="F4" s="55" t="s">
        <v>203</v>
      </c>
      <c r="G4" s="55" t="s">
        <v>585</v>
      </c>
      <c r="H4" s="55" t="s">
        <v>206</v>
      </c>
      <c r="I4" s="55" t="s">
        <v>207</v>
      </c>
      <c r="J4" s="55" t="s">
        <v>208</v>
      </c>
      <c r="K4" s="55" t="s">
        <v>209</v>
      </c>
      <c r="L4" s="55" t="s">
        <v>586</v>
      </c>
      <c r="M4" s="55" t="s">
        <v>589</v>
      </c>
      <c r="N4" s="55" t="s">
        <v>174</v>
      </c>
      <c r="O4" s="55" t="s">
        <v>175</v>
      </c>
      <c r="P4" s="55" t="s">
        <v>176</v>
      </c>
      <c r="Q4" s="55" t="s">
        <v>177</v>
      </c>
    </row>
    <row r="5" spans="1:17" x14ac:dyDescent="0.25">
      <c r="A5" t="str">
        <f>IF('04B Silver Field Treatment'!A6&lt;&gt;"",'04B Silver Field Treatment'!A6,"")</f>
        <v>Enterprise Licensing System</v>
      </c>
      <c r="B5" t="str">
        <f>IF(A5&lt;&gt;"",'04B Silver Field Treatment'!B6,"")</f>
        <v>brz_licensing_license_master</v>
      </c>
      <c r="C5" t="str">
        <f>IF(A5&lt;&gt;"",'04B Silver Field Treatment'!D6,"")</f>
        <v>license_status</v>
      </c>
      <c r="D5" t="str">
        <f>IF(A5&lt;&gt;"",'04B Silver Field Treatment'!X6,"")</f>
        <v>string</v>
      </c>
      <c r="E5" t="str">
        <f>IF(A5&lt;&gt;"",'04B Silver Field Treatment'!Y6,"")</f>
        <v>varchar(20)</v>
      </c>
      <c r="F5" t="str">
        <f>IF(A5&lt;&gt;"",'04B Silver Field Treatment'!J6,"")</f>
        <v>slv_licensing_license</v>
      </c>
      <c r="G5" t="str">
        <f>IF(A5&lt;&gt;"",'04B Silver Field Treatment'!K6,"")</f>
        <v>license_status_code</v>
      </c>
      <c r="H5" t="str">
        <f>IF(A5&lt;&gt;"",'04B Silver Field Treatment'!M6,"")</f>
        <v>Yes</v>
      </c>
      <c r="I5" t="str">
        <f>IF(A5&lt;&gt;"",'04B Silver Field Treatment'!N6,"")</f>
        <v>Map</v>
      </c>
      <c r="J5" t="str">
        <f>IF(A5&lt;&gt;"",'04B Silver Field Treatment'!O6,"")</f>
        <v>Map source statuses to enterprise licensing status list</v>
      </c>
      <c r="K5" t="str">
        <f>IF(A5&lt;&gt;"",'04B Silver Field Treatment'!P6,"")</f>
        <v>In Progress</v>
      </c>
      <c r="L5" t="str">
        <f>IF(A5&lt;&gt;"",'04B Silver Field Treatment'!V6,"")</f>
        <v>DQ-004</v>
      </c>
      <c r="M5" t="str">
        <f ca="1">IF(A5&lt;&gt;"",IFERROR(_xludf.XLOOKUP(A5,'03 Bronze Intake'!B$6:B$367,'03 Bronze Intake'!G$6:G$367,""),""),"")</f>
        <v/>
      </c>
      <c r="N5" t="str">
        <f ca="1">IF(A5&lt;&gt;"",IFERROR(_xludf.XLOOKUP(A5,'03 Bronze Intake'!B$6:B$367,'03 Bronze Intake'!H$6:H$367,""),""),"")</f>
        <v/>
      </c>
      <c r="O5" t="str">
        <f ca="1">IF(A5&lt;&gt;"",IFERROR(_xludf.XLOOKUP(A5,'03 Bronze Intake'!B$6:B$367,'03 Bronze Intake'!M$6:M$367,""),""),"")</f>
        <v/>
      </c>
      <c r="P5" t="str">
        <f ca="1">IF(A5&lt;&gt;"",IFERROR(_xludf.XLOOKUP(A5,'03 Bronze Intake'!B$6:B$367,'03 Bronze Intake'!N$6:N$367,""),""),"")</f>
        <v/>
      </c>
      <c r="Q5" t="str">
        <f ca="1">IF(A5&lt;&gt;"",IFERROR(_xludf.XLOOKUP(A5,'03 Bronze Intake'!B$6:B$367,'03 Bronze Intake'!O$6:O$367,""),""),"")</f>
        <v/>
      </c>
    </row>
    <row r="6" spans="1:17" x14ac:dyDescent="0.25">
      <c r="A6" t="str">
        <f>IF('04B Silver Field Treatment'!A7&lt;&gt;"",'04B Silver Field Treatment'!A7,"")</f>
        <v>Grant Payments File</v>
      </c>
      <c r="B6" t="str">
        <f>IF(A6&lt;&gt;"",'04B Silver Field Treatment'!B7,"")</f>
        <v>brz_finance_payments_weekly</v>
      </c>
      <c r="C6" t="str">
        <f>IF(A6&lt;&gt;"",'04B Silver Field Treatment'!D7,"")</f>
        <v>amount</v>
      </c>
      <c r="D6" t="str">
        <f>IF(A6&lt;&gt;"",'04B Silver Field Treatment'!X7,"")</f>
        <v>decimal</v>
      </c>
      <c r="E6" t="str">
        <f>IF(A6&lt;&gt;"",'04B Silver Field Treatment'!Y7,"")</f>
        <v>12,2</v>
      </c>
      <c r="F6" t="str">
        <f>IF(A6&lt;&gt;"",'04B Silver Field Treatment'!J7,"")</f>
        <v>slv_finance_grant_payment</v>
      </c>
      <c r="G6" t="str">
        <f>IF(A6&lt;&gt;"",'04B Silver Field Treatment'!K7,"")</f>
        <v>payment_amount</v>
      </c>
      <c r="H6" t="str">
        <f>IF(A6&lt;&gt;"",'04B Silver Field Treatment'!M7,"")</f>
        <v>Yes</v>
      </c>
      <c r="I6" t="str">
        <f>IF(A6&lt;&gt;"",'04B Silver Field Treatment'!N7,"")</f>
        <v>Validate</v>
      </c>
      <c r="J6" t="str">
        <f>IF(A6&lt;&gt;"",'04B Silver Field Treatment'!O7,"")</f>
        <v>Preserve numeric value and validate non-negative unless reversal indicator present</v>
      </c>
      <c r="K6" t="str">
        <f>IF(A6&lt;&gt;"",'04B Silver Field Treatment'!P7,"")</f>
        <v>Draft</v>
      </c>
      <c r="L6" t="str">
        <f>IF(A6&lt;&gt;"",'04B Silver Field Treatment'!V7,"")</f>
        <v>DQ-007</v>
      </c>
      <c r="M6" t="str">
        <f ca="1">IF(A6&lt;&gt;"",IFERROR(_xludf.XLOOKUP(A6,'03 Bronze Intake'!B$6:B$367,'03 Bronze Intake'!G$6:G$367,""),""),"")</f>
        <v/>
      </c>
      <c r="N6" t="str">
        <f ca="1">IF(A6&lt;&gt;"",IFERROR(_xludf.XLOOKUP(A6,'03 Bronze Intake'!B$6:B$367,'03 Bronze Intake'!H$6:H$367,""),""),"")</f>
        <v/>
      </c>
      <c r="O6" t="str">
        <f ca="1">IF(A6&lt;&gt;"",IFERROR(_xludf.XLOOKUP(A6,'03 Bronze Intake'!B$6:B$367,'03 Bronze Intake'!M$6:M$367,""),""),"")</f>
        <v/>
      </c>
      <c r="P6" t="str">
        <f ca="1">IF(A6&lt;&gt;"",IFERROR(_xludf.XLOOKUP(A6,'03 Bronze Intake'!B$6:B$367,'03 Bronze Intake'!N$6:N$367,""),""),"")</f>
        <v/>
      </c>
      <c r="Q6" t="str">
        <f ca="1">IF(A6&lt;&gt;"",IFERROR(_xludf.XLOOKUP(A6,'03 Bronze Intake'!B$6:B$367,'03 Bronze Intake'!O$6:O$367,""),""),"")</f>
        <v/>
      </c>
    </row>
    <row r="7" spans="1:17" x14ac:dyDescent="0.25">
      <c r="A7" t="str">
        <f>IF('04B Silver Field Treatment'!A8&lt;&gt;"",'04B Silver Field Treatment'!A8,"")</f>
        <v/>
      </c>
      <c r="B7" t="str">
        <f>IF(A7&lt;&gt;"",'04B Silver Field Treatment'!B8,"")</f>
        <v/>
      </c>
      <c r="C7" t="str">
        <f>IF(A7&lt;&gt;"",'04B Silver Field Treatment'!D8,"")</f>
        <v/>
      </c>
      <c r="D7" t="str">
        <f>IF(A7&lt;&gt;"",'04B Silver Field Treatment'!X8,"")</f>
        <v/>
      </c>
      <c r="E7" t="str">
        <f>IF(A7&lt;&gt;"",'04B Silver Field Treatment'!Y8,"")</f>
        <v/>
      </c>
      <c r="F7" t="str">
        <f>IF(A7&lt;&gt;"",'04B Silver Field Treatment'!J8,"")</f>
        <v/>
      </c>
      <c r="G7" t="str">
        <f>IF(A7&lt;&gt;"",'04B Silver Field Treatment'!K8,"")</f>
        <v/>
      </c>
      <c r="H7" t="str">
        <f>IF(A7&lt;&gt;"",'04B Silver Field Treatment'!M8,"")</f>
        <v/>
      </c>
      <c r="I7" t="str">
        <f>IF(A7&lt;&gt;"",'04B Silver Field Treatment'!N8,"")</f>
        <v/>
      </c>
      <c r="J7" t="str">
        <f>IF(A7&lt;&gt;"",'04B Silver Field Treatment'!O8,"")</f>
        <v/>
      </c>
      <c r="K7" t="str">
        <f>IF(A7&lt;&gt;"",'04B Silver Field Treatment'!P8,"")</f>
        <v/>
      </c>
      <c r="L7" t="str">
        <f>IF(A7&lt;&gt;"",'04B Silver Field Treatment'!V8,"")</f>
        <v/>
      </c>
      <c r="M7" t="str">
        <f>IF(A7&lt;&gt;"",IFERROR(_xludf.XLOOKUP(A7,'03 Bronze Intake'!B$6:B$367,'03 Bronze Intake'!G$6:G$367,""),""),"")</f>
        <v/>
      </c>
      <c r="N7" t="str">
        <f>IF(A7&lt;&gt;"",IFERROR(_xludf.XLOOKUP(A7,'03 Bronze Intake'!B$6:B$367,'03 Bronze Intake'!H$6:H$367,""),""),"")</f>
        <v/>
      </c>
      <c r="O7" t="str">
        <f>IF(A7&lt;&gt;"",IFERROR(_xludf.XLOOKUP(A7,'03 Bronze Intake'!B$6:B$367,'03 Bronze Intake'!M$6:M$367,""),""),"")</f>
        <v/>
      </c>
      <c r="P7" t="str">
        <f>IF(A7&lt;&gt;"",IFERROR(_xludf.XLOOKUP(A7,'03 Bronze Intake'!B$6:B$367,'03 Bronze Intake'!N$6:N$367,""),""),"")</f>
        <v/>
      </c>
      <c r="Q7" t="str">
        <f>IF(A7&lt;&gt;"",IFERROR(_xludf.XLOOKUP(A7,'03 Bronze Intake'!B$6:B$367,'03 Bronze Intake'!O$6:O$367,""),""),"")</f>
        <v/>
      </c>
    </row>
    <row r="8" spans="1:17" x14ac:dyDescent="0.25">
      <c r="A8" t="str">
        <f>IF('04B Silver Field Treatment'!A9&lt;&gt;"",'04B Silver Field Treatment'!A9,"")</f>
        <v/>
      </c>
      <c r="B8" t="str">
        <f>IF(A8&lt;&gt;"",'04B Silver Field Treatment'!B9,"")</f>
        <v/>
      </c>
      <c r="C8" t="str">
        <f>IF(A8&lt;&gt;"",'04B Silver Field Treatment'!D9,"")</f>
        <v/>
      </c>
      <c r="D8" t="str">
        <f>IF(A8&lt;&gt;"",'04B Silver Field Treatment'!X9,"")</f>
        <v/>
      </c>
      <c r="E8" t="str">
        <f>IF(A8&lt;&gt;"",'04B Silver Field Treatment'!Y9,"")</f>
        <v/>
      </c>
      <c r="F8" t="str">
        <f>IF(A8&lt;&gt;"",'04B Silver Field Treatment'!J9,"")</f>
        <v/>
      </c>
      <c r="G8" t="str">
        <f>IF(A8&lt;&gt;"",'04B Silver Field Treatment'!K9,"")</f>
        <v/>
      </c>
      <c r="H8" t="str">
        <f>IF(A8&lt;&gt;"",'04B Silver Field Treatment'!M9,"")</f>
        <v/>
      </c>
      <c r="I8" t="str">
        <f>IF(A8&lt;&gt;"",'04B Silver Field Treatment'!N9,"")</f>
        <v/>
      </c>
      <c r="J8" t="str">
        <f>IF(A8&lt;&gt;"",'04B Silver Field Treatment'!O9,"")</f>
        <v/>
      </c>
      <c r="K8" t="str">
        <f>IF(A8&lt;&gt;"",'04B Silver Field Treatment'!P9,"")</f>
        <v/>
      </c>
      <c r="L8" t="str">
        <f>IF(A8&lt;&gt;"",'04B Silver Field Treatment'!V9,"")</f>
        <v/>
      </c>
      <c r="M8" t="str">
        <f>IF(A8&lt;&gt;"",IFERROR(_xludf.XLOOKUP(A8,'03 Bronze Intake'!B$6:B$367,'03 Bronze Intake'!G$6:G$367,""),""),"")</f>
        <v/>
      </c>
      <c r="N8" t="str">
        <f>IF(A8&lt;&gt;"",IFERROR(_xludf.XLOOKUP(A8,'03 Bronze Intake'!B$6:B$367,'03 Bronze Intake'!H$6:H$367,""),""),"")</f>
        <v/>
      </c>
      <c r="O8" t="str">
        <f>IF(A8&lt;&gt;"",IFERROR(_xludf.XLOOKUP(A8,'03 Bronze Intake'!B$6:B$367,'03 Bronze Intake'!M$6:M$367,""),""),"")</f>
        <v/>
      </c>
      <c r="P8" t="str">
        <f>IF(A8&lt;&gt;"",IFERROR(_xludf.XLOOKUP(A8,'03 Bronze Intake'!B$6:B$367,'03 Bronze Intake'!N$6:N$367,""),""),"")</f>
        <v/>
      </c>
      <c r="Q8" t="str">
        <f>IF(A8&lt;&gt;"",IFERROR(_xludf.XLOOKUP(A8,'03 Bronze Intake'!B$6:B$367,'03 Bronze Intake'!O$6:O$367,""),""),"")</f>
        <v/>
      </c>
    </row>
    <row r="9" spans="1:17" x14ac:dyDescent="0.25">
      <c r="A9" t="str">
        <f>IF('04B Silver Field Treatment'!A10&lt;&gt;"",'04B Silver Field Treatment'!A10,"")</f>
        <v/>
      </c>
      <c r="B9" t="str">
        <f>IF(A9&lt;&gt;"",'04B Silver Field Treatment'!B10,"")</f>
        <v/>
      </c>
      <c r="C9" t="str">
        <f>IF(A9&lt;&gt;"",'04B Silver Field Treatment'!D10,"")</f>
        <v/>
      </c>
      <c r="D9" t="str">
        <f>IF(A9&lt;&gt;"",'04B Silver Field Treatment'!X10,"")</f>
        <v/>
      </c>
      <c r="E9" t="str">
        <f>IF(A9&lt;&gt;"",'04B Silver Field Treatment'!Y10,"")</f>
        <v/>
      </c>
      <c r="F9" t="str">
        <f>IF(A9&lt;&gt;"",'04B Silver Field Treatment'!J10,"")</f>
        <v/>
      </c>
      <c r="G9" t="str">
        <f>IF(A9&lt;&gt;"",'04B Silver Field Treatment'!K10,"")</f>
        <v/>
      </c>
      <c r="H9" t="str">
        <f>IF(A9&lt;&gt;"",'04B Silver Field Treatment'!M10,"")</f>
        <v/>
      </c>
      <c r="I9" t="str">
        <f>IF(A9&lt;&gt;"",'04B Silver Field Treatment'!N10,"")</f>
        <v/>
      </c>
      <c r="J9" t="str">
        <f>IF(A9&lt;&gt;"",'04B Silver Field Treatment'!O10,"")</f>
        <v/>
      </c>
      <c r="K9" t="str">
        <f>IF(A9&lt;&gt;"",'04B Silver Field Treatment'!P10,"")</f>
        <v/>
      </c>
      <c r="L9" t="str">
        <f>IF(A9&lt;&gt;"",'04B Silver Field Treatment'!V10,"")</f>
        <v/>
      </c>
      <c r="M9" t="str">
        <f>IF(A9&lt;&gt;"",IFERROR(_xludf.XLOOKUP(A9,'03 Bronze Intake'!B$6:B$367,'03 Bronze Intake'!G$6:G$367,""),""),"")</f>
        <v/>
      </c>
      <c r="N9" t="str">
        <f>IF(A9&lt;&gt;"",IFERROR(_xludf.XLOOKUP(A9,'03 Bronze Intake'!B$6:B$367,'03 Bronze Intake'!H$6:H$367,""),""),"")</f>
        <v/>
      </c>
      <c r="O9" t="str">
        <f>IF(A9&lt;&gt;"",IFERROR(_xludf.XLOOKUP(A9,'03 Bronze Intake'!B$6:B$367,'03 Bronze Intake'!M$6:M$367,""),""),"")</f>
        <v/>
      </c>
      <c r="P9" t="str">
        <f>IF(A9&lt;&gt;"",IFERROR(_xludf.XLOOKUP(A9,'03 Bronze Intake'!B$6:B$367,'03 Bronze Intake'!N$6:N$367,""),""),"")</f>
        <v/>
      </c>
      <c r="Q9" t="str">
        <f>IF(A9&lt;&gt;"",IFERROR(_xludf.XLOOKUP(A9,'03 Bronze Intake'!B$6:B$367,'03 Bronze Intake'!O$6:O$367,""),""),"")</f>
        <v/>
      </c>
    </row>
    <row r="10" spans="1:17" x14ac:dyDescent="0.25">
      <c r="A10" t="str">
        <f>IF('04B Silver Field Treatment'!A11&lt;&gt;"",'04B Silver Field Treatment'!A11,"")</f>
        <v/>
      </c>
      <c r="B10" t="str">
        <f>IF(A10&lt;&gt;"",'04B Silver Field Treatment'!B11,"")</f>
        <v/>
      </c>
      <c r="C10" t="str">
        <f>IF(A10&lt;&gt;"",'04B Silver Field Treatment'!D11,"")</f>
        <v/>
      </c>
      <c r="D10" t="str">
        <f>IF(A10&lt;&gt;"",'04B Silver Field Treatment'!X11,"")</f>
        <v/>
      </c>
      <c r="E10" t="str">
        <f>IF(A10&lt;&gt;"",'04B Silver Field Treatment'!Y11,"")</f>
        <v/>
      </c>
      <c r="F10" t="str">
        <f>IF(A10&lt;&gt;"",'04B Silver Field Treatment'!J11,"")</f>
        <v/>
      </c>
      <c r="G10" t="str">
        <f>IF(A10&lt;&gt;"",'04B Silver Field Treatment'!K11,"")</f>
        <v/>
      </c>
      <c r="H10" t="str">
        <f>IF(A10&lt;&gt;"",'04B Silver Field Treatment'!M11,"")</f>
        <v/>
      </c>
      <c r="I10" t="str">
        <f>IF(A10&lt;&gt;"",'04B Silver Field Treatment'!N11,"")</f>
        <v/>
      </c>
      <c r="J10" t="str">
        <f>IF(A10&lt;&gt;"",'04B Silver Field Treatment'!O11,"")</f>
        <v/>
      </c>
      <c r="K10" t="str">
        <f>IF(A10&lt;&gt;"",'04B Silver Field Treatment'!P11,"")</f>
        <v/>
      </c>
      <c r="L10" t="str">
        <f>IF(A10&lt;&gt;"",'04B Silver Field Treatment'!V11,"")</f>
        <v/>
      </c>
      <c r="M10" t="str">
        <f>IF(A10&lt;&gt;"",IFERROR(_xludf.XLOOKUP(A10,'03 Bronze Intake'!B$6:B$367,'03 Bronze Intake'!G$6:G$367,""),""),"")</f>
        <v/>
      </c>
      <c r="N10" t="str">
        <f>IF(A10&lt;&gt;"",IFERROR(_xludf.XLOOKUP(A10,'03 Bronze Intake'!B$6:B$367,'03 Bronze Intake'!H$6:H$367,""),""),"")</f>
        <v/>
      </c>
      <c r="O10" t="str">
        <f>IF(A10&lt;&gt;"",IFERROR(_xludf.XLOOKUP(A10,'03 Bronze Intake'!B$6:B$367,'03 Bronze Intake'!M$6:M$367,""),""),"")</f>
        <v/>
      </c>
      <c r="P10" t="str">
        <f>IF(A10&lt;&gt;"",IFERROR(_xludf.XLOOKUP(A10,'03 Bronze Intake'!B$6:B$367,'03 Bronze Intake'!N$6:N$367,""),""),"")</f>
        <v/>
      </c>
      <c r="Q10" t="str">
        <f>IF(A10&lt;&gt;"",IFERROR(_xludf.XLOOKUP(A10,'03 Bronze Intake'!B$6:B$367,'03 Bronze Intake'!O$6:O$367,""),""),"")</f>
        <v/>
      </c>
    </row>
    <row r="11" spans="1:17" x14ac:dyDescent="0.25">
      <c r="A11" t="str">
        <f>IF('04B Silver Field Treatment'!A12&lt;&gt;"",'04B Silver Field Treatment'!A12,"")</f>
        <v/>
      </c>
      <c r="B11" t="str">
        <f>IF(A11&lt;&gt;"",'04B Silver Field Treatment'!B12,"")</f>
        <v/>
      </c>
      <c r="C11" t="str">
        <f>IF(A11&lt;&gt;"",'04B Silver Field Treatment'!D12,"")</f>
        <v/>
      </c>
      <c r="D11" t="str">
        <f>IF(A11&lt;&gt;"",'04B Silver Field Treatment'!X12,"")</f>
        <v/>
      </c>
      <c r="E11" t="str">
        <f>IF(A11&lt;&gt;"",'04B Silver Field Treatment'!Y12,"")</f>
        <v/>
      </c>
      <c r="F11" t="str">
        <f>IF(A11&lt;&gt;"",'04B Silver Field Treatment'!J12,"")</f>
        <v/>
      </c>
      <c r="G11" t="str">
        <f>IF(A11&lt;&gt;"",'04B Silver Field Treatment'!K12,"")</f>
        <v/>
      </c>
      <c r="H11" t="str">
        <f>IF(A11&lt;&gt;"",'04B Silver Field Treatment'!M12,"")</f>
        <v/>
      </c>
      <c r="I11" t="str">
        <f>IF(A11&lt;&gt;"",'04B Silver Field Treatment'!N12,"")</f>
        <v/>
      </c>
      <c r="J11" t="str">
        <f>IF(A11&lt;&gt;"",'04B Silver Field Treatment'!O12,"")</f>
        <v/>
      </c>
      <c r="K11" t="str">
        <f>IF(A11&lt;&gt;"",'04B Silver Field Treatment'!P12,"")</f>
        <v/>
      </c>
      <c r="L11" t="str">
        <f>IF(A11&lt;&gt;"",'04B Silver Field Treatment'!V12,"")</f>
        <v/>
      </c>
      <c r="M11" t="str">
        <f>IF(A11&lt;&gt;"",IFERROR(_xludf.XLOOKUP(A11,'03 Bronze Intake'!B$6:B$367,'03 Bronze Intake'!G$6:G$367,""),""),"")</f>
        <v/>
      </c>
      <c r="N11" t="str">
        <f>IF(A11&lt;&gt;"",IFERROR(_xludf.XLOOKUP(A11,'03 Bronze Intake'!B$6:B$367,'03 Bronze Intake'!H$6:H$367,""),""),"")</f>
        <v/>
      </c>
      <c r="O11" t="str">
        <f>IF(A11&lt;&gt;"",IFERROR(_xludf.XLOOKUP(A11,'03 Bronze Intake'!B$6:B$367,'03 Bronze Intake'!M$6:M$367,""),""),"")</f>
        <v/>
      </c>
      <c r="P11" t="str">
        <f>IF(A11&lt;&gt;"",IFERROR(_xludf.XLOOKUP(A11,'03 Bronze Intake'!B$6:B$367,'03 Bronze Intake'!N$6:N$367,""),""),"")</f>
        <v/>
      </c>
      <c r="Q11" t="str">
        <f>IF(A11&lt;&gt;"",IFERROR(_xludf.XLOOKUP(A11,'03 Bronze Intake'!B$6:B$367,'03 Bronze Intake'!O$6:O$367,""),""),"")</f>
        <v/>
      </c>
    </row>
    <row r="12" spans="1:17" x14ac:dyDescent="0.25">
      <c r="A12" t="str">
        <f>IF('04B Silver Field Treatment'!A13&lt;&gt;"",'04B Silver Field Treatment'!A13,"")</f>
        <v/>
      </c>
      <c r="B12" t="str">
        <f>IF(A12&lt;&gt;"",'04B Silver Field Treatment'!B13,"")</f>
        <v/>
      </c>
      <c r="C12" t="str">
        <f>IF(A12&lt;&gt;"",'04B Silver Field Treatment'!D13,"")</f>
        <v/>
      </c>
      <c r="D12" t="str">
        <f>IF(A12&lt;&gt;"",'04B Silver Field Treatment'!X13,"")</f>
        <v/>
      </c>
      <c r="E12" t="str">
        <f>IF(A12&lt;&gt;"",'04B Silver Field Treatment'!Y13,"")</f>
        <v/>
      </c>
      <c r="F12" t="str">
        <f>IF(A12&lt;&gt;"",'04B Silver Field Treatment'!J13,"")</f>
        <v/>
      </c>
      <c r="G12" t="str">
        <f>IF(A12&lt;&gt;"",'04B Silver Field Treatment'!K13,"")</f>
        <v/>
      </c>
      <c r="H12" t="str">
        <f>IF(A12&lt;&gt;"",'04B Silver Field Treatment'!M13,"")</f>
        <v/>
      </c>
      <c r="I12" t="str">
        <f>IF(A12&lt;&gt;"",'04B Silver Field Treatment'!N13,"")</f>
        <v/>
      </c>
      <c r="J12" t="str">
        <f>IF(A12&lt;&gt;"",'04B Silver Field Treatment'!O13,"")</f>
        <v/>
      </c>
      <c r="K12" t="str">
        <f>IF(A12&lt;&gt;"",'04B Silver Field Treatment'!P13,"")</f>
        <v/>
      </c>
      <c r="L12" t="str">
        <f>IF(A12&lt;&gt;"",'04B Silver Field Treatment'!V13,"")</f>
        <v/>
      </c>
      <c r="M12" t="str">
        <f>IF(A12&lt;&gt;"",IFERROR(_xludf.XLOOKUP(A12,'03 Bronze Intake'!B$6:B$367,'03 Bronze Intake'!G$6:G$367,""),""),"")</f>
        <v/>
      </c>
      <c r="N12" t="str">
        <f>IF(A12&lt;&gt;"",IFERROR(_xludf.XLOOKUP(A12,'03 Bronze Intake'!B$6:B$367,'03 Bronze Intake'!H$6:H$367,""),""),"")</f>
        <v/>
      </c>
      <c r="O12" t="str">
        <f>IF(A12&lt;&gt;"",IFERROR(_xludf.XLOOKUP(A12,'03 Bronze Intake'!B$6:B$367,'03 Bronze Intake'!M$6:M$367,""),""),"")</f>
        <v/>
      </c>
      <c r="P12" t="str">
        <f>IF(A12&lt;&gt;"",IFERROR(_xludf.XLOOKUP(A12,'03 Bronze Intake'!B$6:B$367,'03 Bronze Intake'!N$6:N$367,""),""),"")</f>
        <v/>
      </c>
      <c r="Q12" t="str">
        <f>IF(A12&lt;&gt;"",IFERROR(_xludf.XLOOKUP(A12,'03 Bronze Intake'!B$6:B$367,'03 Bronze Intake'!O$6:O$367,""),""),"")</f>
        <v/>
      </c>
    </row>
    <row r="13" spans="1:17" x14ac:dyDescent="0.25">
      <c r="A13" t="str">
        <f>IF('04B Silver Field Treatment'!A14&lt;&gt;"",'04B Silver Field Treatment'!A14,"")</f>
        <v/>
      </c>
      <c r="B13" t="str">
        <f>IF(A13&lt;&gt;"",'04B Silver Field Treatment'!B14,"")</f>
        <v/>
      </c>
      <c r="C13" t="str">
        <f>IF(A13&lt;&gt;"",'04B Silver Field Treatment'!D14,"")</f>
        <v/>
      </c>
      <c r="D13" t="str">
        <f>IF(A13&lt;&gt;"",'04B Silver Field Treatment'!X14,"")</f>
        <v/>
      </c>
      <c r="E13" t="str">
        <f>IF(A13&lt;&gt;"",'04B Silver Field Treatment'!Y14,"")</f>
        <v/>
      </c>
      <c r="F13" t="str">
        <f>IF(A13&lt;&gt;"",'04B Silver Field Treatment'!J14,"")</f>
        <v/>
      </c>
      <c r="G13" t="str">
        <f>IF(A13&lt;&gt;"",'04B Silver Field Treatment'!K14,"")</f>
        <v/>
      </c>
      <c r="H13" t="str">
        <f>IF(A13&lt;&gt;"",'04B Silver Field Treatment'!M14,"")</f>
        <v/>
      </c>
      <c r="I13" t="str">
        <f>IF(A13&lt;&gt;"",'04B Silver Field Treatment'!N14,"")</f>
        <v/>
      </c>
      <c r="J13" t="str">
        <f>IF(A13&lt;&gt;"",'04B Silver Field Treatment'!O14,"")</f>
        <v/>
      </c>
      <c r="K13" t="str">
        <f>IF(A13&lt;&gt;"",'04B Silver Field Treatment'!P14,"")</f>
        <v/>
      </c>
      <c r="L13" t="str">
        <f>IF(A13&lt;&gt;"",'04B Silver Field Treatment'!V14,"")</f>
        <v/>
      </c>
      <c r="M13" t="str">
        <f>IF(A13&lt;&gt;"",IFERROR(_xludf.XLOOKUP(A13,'03 Bronze Intake'!B$6:B$367,'03 Bronze Intake'!G$6:G$367,""),""),"")</f>
        <v/>
      </c>
      <c r="N13" t="str">
        <f>IF(A13&lt;&gt;"",IFERROR(_xludf.XLOOKUP(A13,'03 Bronze Intake'!B$6:B$367,'03 Bronze Intake'!H$6:H$367,""),""),"")</f>
        <v/>
      </c>
      <c r="O13" t="str">
        <f>IF(A13&lt;&gt;"",IFERROR(_xludf.XLOOKUP(A13,'03 Bronze Intake'!B$6:B$367,'03 Bronze Intake'!M$6:M$367,""),""),"")</f>
        <v/>
      </c>
      <c r="P13" t="str">
        <f>IF(A13&lt;&gt;"",IFERROR(_xludf.XLOOKUP(A13,'03 Bronze Intake'!B$6:B$367,'03 Bronze Intake'!N$6:N$367,""),""),"")</f>
        <v/>
      </c>
      <c r="Q13" t="str">
        <f>IF(A13&lt;&gt;"",IFERROR(_xludf.XLOOKUP(A13,'03 Bronze Intake'!B$6:B$367,'03 Bronze Intake'!O$6:O$367,""),""),"")</f>
        <v/>
      </c>
    </row>
    <row r="14" spans="1:17" x14ac:dyDescent="0.25">
      <c r="A14" t="str">
        <f>IF('04B Silver Field Treatment'!A15&lt;&gt;"",'04B Silver Field Treatment'!A15,"")</f>
        <v/>
      </c>
      <c r="B14" t="str">
        <f>IF(A14&lt;&gt;"",'04B Silver Field Treatment'!B15,"")</f>
        <v/>
      </c>
      <c r="C14" t="str">
        <f>IF(A14&lt;&gt;"",'04B Silver Field Treatment'!D15,"")</f>
        <v/>
      </c>
      <c r="D14" t="str">
        <f>IF(A14&lt;&gt;"",'04B Silver Field Treatment'!X15,"")</f>
        <v/>
      </c>
      <c r="E14" t="str">
        <f>IF(A14&lt;&gt;"",'04B Silver Field Treatment'!Y15,"")</f>
        <v/>
      </c>
      <c r="F14" t="str">
        <f>IF(A14&lt;&gt;"",'04B Silver Field Treatment'!J15,"")</f>
        <v/>
      </c>
      <c r="G14" t="str">
        <f>IF(A14&lt;&gt;"",'04B Silver Field Treatment'!K15,"")</f>
        <v/>
      </c>
      <c r="H14" t="str">
        <f>IF(A14&lt;&gt;"",'04B Silver Field Treatment'!M15,"")</f>
        <v/>
      </c>
      <c r="I14" t="str">
        <f>IF(A14&lt;&gt;"",'04B Silver Field Treatment'!N15,"")</f>
        <v/>
      </c>
      <c r="J14" t="str">
        <f>IF(A14&lt;&gt;"",'04B Silver Field Treatment'!O15,"")</f>
        <v/>
      </c>
      <c r="K14" t="str">
        <f>IF(A14&lt;&gt;"",'04B Silver Field Treatment'!P15,"")</f>
        <v/>
      </c>
      <c r="L14" t="str">
        <f>IF(A14&lt;&gt;"",'04B Silver Field Treatment'!V15,"")</f>
        <v/>
      </c>
      <c r="M14" t="str">
        <f>IF(A14&lt;&gt;"",IFERROR(_xludf.XLOOKUP(A14,'03 Bronze Intake'!B$6:B$367,'03 Bronze Intake'!G$6:G$367,""),""),"")</f>
        <v/>
      </c>
      <c r="N14" t="str">
        <f>IF(A14&lt;&gt;"",IFERROR(_xludf.XLOOKUP(A14,'03 Bronze Intake'!B$6:B$367,'03 Bronze Intake'!H$6:H$367,""),""),"")</f>
        <v/>
      </c>
      <c r="O14" t="str">
        <f>IF(A14&lt;&gt;"",IFERROR(_xludf.XLOOKUP(A14,'03 Bronze Intake'!B$6:B$367,'03 Bronze Intake'!M$6:M$367,""),""),"")</f>
        <v/>
      </c>
      <c r="P14" t="str">
        <f>IF(A14&lt;&gt;"",IFERROR(_xludf.XLOOKUP(A14,'03 Bronze Intake'!B$6:B$367,'03 Bronze Intake'!N$6:N$367,""),""),"")</f>
        <v/>
      </c>
      <c r="Q14" t="str">
        <f>IF(A14&lt;&gt;"",IFERROR(_xludf.XLOOKUP(A14,'03 Bronze Intake'!B$6:B$367,'03 Bronze Intake'!O$6:O$367,""),""),"")</f>
        <v/>
      </c>
    </row>
    <row r="15" spans="1:17" x14ac:dyDescent="0.25">
      <c r="A15" t="str">
        <f>IF('04B Silver Field Treatment'!A16&lt;&gt;"",'04B Silver Field Treatment'!A16,"")</f>
        <v/>
      </c>
      <c r="B15" t="str">
        <f>IF(A15&lt;&gt;"",'04B Silver Field Treatment'!B16,"")</f>
        <v/>
      </c>
      <c r="C15" t="str">
        <f>IF(A15&lt;&gt;"",'04B Silver Field Treatment'!D16,"")</f>
        <v/>
      </c>
      <c r="D15" t="str">
        <f>IF(A15&lt;&gt;"",'04B Silver Field Treatment'!X16,"")</f>
        <v/>
      </c>
      <c r="E15" t="str">
        <f>IF(A15&lt;&gt;"",'04B Silver Field Treatment'!Y16,"")</f>
        <v/>
      </c>
      <c r="F15" t="str">
        <f>IF(A15&lt;&gt;"",'04B Silver Field Treatment'!J16,"")</f>
        <v/>
      </c>
      <c r="G15" t="str">
        <f>IF(A15&lt;&gt;"",'04B Silver Field Treatment'!K16,"")</f>
        <v/>
      </c>
      <c r="H15" t="str">
        <f>IF(A15&lt;&gt;"",'04B Silver Field Treatment'!M16,"")</f>
        <v/>
      </c>
      <c r="I15" t="str">
        <f>IF(A15&lt;&gt;"",'04B Silver Field Treatment'!N16,"")</f>
        <v/>
      </c>
      <c r="J15" t="str">
        <f>IF(A15&lt;&gt;"",'04B Silver Field Treatment'!O16,"")</f>
        <v/>
      </c>
      <c r="K15" t="str">
        <f>IF(A15&lt;&gt;"",'04B Silver Field Treatment'!P16,"")</f>
        <v/>
      </c>
      <c r="L15" t="str">
        <f>IF(A15&lt;&gt;"",'04B Silver Field Treatment'!V16,"")</f>
        <v/>
      </c>
      <c r="M15" t="str">
        <f>IF(A15&lt;&gt;"",IFERROR(_xludf.XLOOKUP(A15,'03 Bronze Intake'!B$6:B$367,'03 Bronze Intake'!G$6:G$367,""),""),"")</f>
        <v/>
      </c>
      <c r="N15" t="str">
        <f>IF(A15&lt;&gt;"",IFERROR(_xludf.XLOOKUP(A15,'03 Bronze Intake'!B$6:B$367,'03 Bronze Intake'!H$6:H$367,""),""),"")</f>
        <v/>
      </c>
      <c r="O15" t="str">
        <f>IF(A15&lt;&gt;"",IFERROR(_xludf.XLOOKUP(A15,'03 Bronze Intake'!B$6:B$367,'03 Bronze Intake'!M$6:M$367,""),""),"")</f>
        <v/>
      </c>
      <c r="P15" t="str">
        <f>IF(A15&lt;&gt;"",IFERROR(_xludf.XLOOKUP(A15,'03 Bronze Intake'!B$6:B$367,'03 Bronze Intake'!N$6:N$367,""),""),"")</f>
        <v/>
      </c>
      <c r="Q15" t="str">
        <f>IF(A15&lt;&gt;"",IFERROR(_xludf.XLOOKUP(A15,'03 Bronze Intake'!B$6:B$367,'03 Bronze Intake'!O$6:O$367,""),""),"")</f>
        <v/>
      </c>
    </row>
    <row r="16" spans="1:17" x14ac:dyDescent="0.25">
      <c r="A16" t="str">
        <f>IF('04B Silver Field Treatment'!A17&lt;&gt;"",'04B Silver Field Treatment'!A17,"")</f>
        <v/>
      </c>
      <c r="B16" t="str">
        <f>IF(A16&lt;&gt;"",'04B Silver Field Treatment'!B17,"")</f>
        <v/>
      </c>
      <c r="C16" t="str">
        <f>IF(A16&lt;&gt;"",'04B Silver Field Treatment'!D17,"")</f>
        <v/>
      </c>
      <c r="D16" t="str">
        <f>IF(A16&lt;&gt;"",'04B Silver Field Treatment'!X17,"")</f>
        <v/>
      </c>
      <c r="E16" t="str">
        <f>IF(A16&lt;&gt;"",'04B Silver Field Treatment'!Y17,"")</f>
        <v/>
      </c>
      <c r="F16" t="str">
        <f>IF(A16&lt;&gt;"",'04B Silver Field Treatment'!J17,"")</f>
        <v/>
      </c>
      <c r="G16" t="str">
        <f>IF(A16&lt;&gt;"",'04B Silver Field Treatment'!K17,"")</f>
        <v/>
      </c>
      <c r="H16" t="str">
        <f>IF(A16&lt;&gt;"",'04B Silver Field Treatment'!M17,"")</f>
        <v/>
      </c>
      <c r="I16" t="str">
        <f>IF(A16&lt;&gt;"",'04B Silver Field Treatment'!N17,"")</f>
        <v/>
      </c>
      <c r="J16" t="str">
        <f>IF(A16&lt;&gt;"",'04B Silver Field Treatment'!O17,"")</f>
        <v/>
      </c>
      <c r="K16" t="str">
        <f>IF(A16&lt;&gt;"",'04B Silver Field Treatment'!P17,"")</f>
        <v/>
      </c>
      <c r="L16" t="str">
        <f>IF(A16&lt;&gt;"",'04B Silver Field Treatment'!V17,"")</f>
        <v/>
      </c>
      <c r="M16" t="str">
        <f>IF(A16&lt;&gt;"",IFERROR(_xludf.XLOOKUP(A16,'03 Bronze Intake'!B$6:B$367,'03 Bronze Intake'!G$6:G$367,""),""),"")</f>
        <v/>
      </c>
      <c r="N16" t="str">
        <f>IF(A16&lt;&gt;"",IFERROR(_xludf.XLOOKUP(A16,'03 Bronze Intake'!B$6:B$367,'03 Bronze Intake'!H$6:H$367,""),""),"")</f>
        <v/>
      </c>
      <c r="O16" t="str">
        <f>IF(A16&lt;&gt;"",IFERROR(_xludf.XLOOKUP(A16,'03 Bronze Intake'!B$6:B$367,'03 Bronze Intake'!M$6:M$367,""),""),"")</f>
        <v/>
      </c>
      <c r="P16" t="str">
        <f>IF(A16&lt;&gt;"",IFERROR(_xludf.XLOOKUP(A16,'03 Bronze Intake'!B$6:B$367,'03 Bronze Intake'!N$6:N$367,""),""),"")</f>
        <v/>
      </c>
      <c r="Q16" t="str">
        <f>IF(A16&lt;&gt;"",IFERROR(_xludf.XLOOKUP(A16,'03 Bronze Intake'!B$6:B$367,'03 Bronze Intake'!O$6:O$367,""),""),"")</f>
        <v/>
      </c>
    </row>
    <row r="17" spans="1:17" x14ac:dyDescent="0.25">
      <c r="A17" t="str">
        <f>IF('04B Silver Field Treatment'!A18&lt;&gt;"",'04B Silver Field Treatment'!A18,"")</f>
        <v/>
      </c>
      <c r="B17" t="str">
        <f>IF(A17&lt;&gt;"",'04B Silver Field Treatment'!B18,"")</f>
        <v/>
      </c>
      <c r="C17" t="str">
        <f>IF(A17&lt;&gt;"",'04B Silver Field Treatment'!D18,"")</f>
        <v/>
      </c>
      <c r="D17" t="str">
        <f>IF(A17&lt;&gt;"",'04B Silver Field Treatment'!X18,"")</f>
        <v/>
      </c>
      <c r="E17" t="str">
        <f>IF(A17&lt;&gt;"",'04B Silver Field Treatment'!Y18,"")</f>
        <v/>
      </c>
      <c r="F17" t="str">
        <f>IF(A17&lt;&gt;"",'04B Silver Field Treatment'!J18,"")</f>
        <v/>
      </c>
      <c r="G17" t="str">
        <f>IF(A17&lt;&gt;"",'04B Silver Field Treatment'!K18,"")</f>
        <v/>
      </c>
      <c r="H17" t="str">
        <f>IF(A17&lt;&gt;"",'04B Silver Field Treatment'!M18,"")</f>
        <v/>
      </c>
      <c r="I17" t="str">
        <f>IF(A17&lt;&gt;"",'04B Silver Field Treatment'!N18,"")</f>
        <v/>
      </c>
      <c r="J17" t="str">
        <f>IF(A17&lt;&gt;"",'04B Silver Field Treatment'!O18,"")</f>
        <v/>
      </c>
      <c r="K17" t="str">
        <f>IF(A17&lt;&gt;"",'04B Silver Field Treatment'!P18,"")</f>
        <v/>
      </c>
      <c r="L17" t="str">
        <f>IF(A17&lt;&gt;"",'04B Silver Field Treatment'!V18,"")</f>
        <v/>
      </c>
      <c r="M17" t="str">
        <f>IF(A17&lt;&gt;"",IFERROR(_xludf.XLOOKUP(A17,'03 Bronze Intake'!B$6:B$367,'03 Bronze Intake'!G$6:G$367,""),""),"")</f>
        <v/>
      </c>
      <c r="N17" t="str">
        <f>IF(A17&lt;&gt;"",IFERROR(_xludf.XLOOKUP(A17,'03 Bronze Intake'!B$6:B$367,'03 Bronze Intake'!H$6:H$367,""),""),"")</f>
        <v/>
      </c>
      <c r="O17" t="str">
        <f>IF(A17&lt;&gt;"",IFERROR(_xludf.XLOOKUP(A17,'03 Bronze Intake'!B$6:B$367,'03 Bronze Intake'!M$6:M$367,""),""),"")</f>
        <v/>
      </c>
      <c r="P17" t="str">
        <f>IF(A17&lt;&gt;"",IFERROR(_xludf.XLOOKUP(A17,'03 Bronze Intake'!B$6:B$367,'03 Bronze Intake'!N$6:N$367,""),""),"")</f>
        <v/>
      </c>
      <c r="Q17" t="str">
        <f>IF(A17&lt;&gt;"",IFERROR(_xludf.XLOOKUP(A17,'03 Bronze Intake'!B$6:B$367,'03 Bronze Intake'!O$6:O$367,""),""),"")</f>
        <v/>
      </c>
    </row>
    <row r="18" spans="1:17" x14ac:dyDescent="0.25">
      <c r="A18" t="str">
        <f>IF('04B Silver Field Treatment'!A19&lt;&gt;"",'04B Silver Field Treatment'!A19,"")</f>
        <v/>
      </c>
      <c r="B18" t="str">
        <f>IF(A18&lt;&gt;"",'04B Silver Field Treatment'!B19,"")</f>
        <v/>
      </c>
      <c r="C18" t="str">
        <f>IF(A18&lt;&gt;"",'04B Silver Field Treatment'!D19,"")</f>
        <v/>
      </c>
      <c r="D18" t="str">
        <f>IF(A18&lt;&gt;"",'04B Silver Field Treatment'!X19,"")</f>
        <v/>
      </c>
      <c r="E18" t="str">
        <f>IF(A18&lt;&gt;"",'04B Silver Field Treatment'!Y19,"")</f>
        <v/>
      </c>
      <c r="F18" t="str">
        <f>IF(A18&lt;&gt;"",'04B Silver Field Treatment'!J19,"")</f>
        <v/>
      </c>
      <c r="G18" t="str">
        <f>IF(A18&lt;&gt;"",'04B Silver Field Treatment'!K19,"")</f>
        <v/>
      </c>
      <c r="H18" t="str">
        <f>IF(A18&lt;&gt;"",'04B Silver Field Treatment'!M19,"")</f>
        <v/>
      </c>
      <c r="I18" t="str">
        <f>IF(A18&lt;&gt;"",'04B Silver Field Treatment'!N19,"")</f>
        <v/>
      </c>
      <c r="J18" t="str">
        <f>IF(A18&lt;&gt;"",'04B Silver Field Treatment'!O19,"")</f>
        <v/>
      </c>
      <c r="K18" t="str">
        <f>IF(A18&lt;&gt;"",'04B Silver Field Treatment'!P19,"")</f>
        <v/>
      </c>
      <c r="L18" t="str">
        <f>IF(A18&lt;&gt;"",'04B Silver Field Treatment'!V19,"")</f>
        <v/>
      </c>
      <c r="M18" t="str">
        <f>IF(A18&lt;&gt;"",IFERROR(_xludf.XLOOKUP(A18,'03 Bronze Intake'!B$6:B$367,'03 Bronze Intake'!G$6:G$367,""),""),"")</f>
        <v/>
      </c>
      <c r="N18" t="str">
        <f>IF(A18&lt;&gt;"",IFERROR(_xludf.XLOOKUP(A18,'03 Bronze Intake'!B$6:B$367,'03 Bronze Intake'!H$6:H$367,""),""),"")</f>
        <v/>
      </c>
      <c r="O18" t="str">
        <f>IF(A18&lt;&gt;"",IFERROR(_xludf.XLOOKUP(A18,'03 Bronze Intake'!B$6:B$367,'03 Bronze Intake'!M$6:M$367,""),""),"")</f>
        <v/>
      </c>
      <c r="P18" t="str">
        <f>IF(A18&lt;&gt;"",IFERROR(_xludf.XLOOKUP(A18,'03 Bronze Intake'!B$6:B$367,'03 Bronze Intake'!N$6:N$367,""),""),"")</f>
        <v/>
      </c>
      <c r="Q18" t="str">
        <f>IF(A18&lt;&gt;"",IFERROR(_xludf.XLOOKUP(A18,'03 Bronze Intake'!B$6:B$367,'03 Bronze Intake'!O$6:O$367,""),""),"")</f>
        <v/>
      </c>
    </row>
    <row r="19" spans="1:17" x14ac:dyDescent="0.25">
      <c r="A19" t="str">
        <f>IF('04B Silver Field Treatment'!A20&lt;&gt;"",'04B Silver Field Treatment'!A20,"")</f>
        <v/>
      </c>
      <c r="B19" t="str">
        <f>IF(A19&lt;&gt;"",'04B Silver Field Treatment'!B20,"")</f>
        <v/>
      </c>
      <c r="C19" t="str">
        <f>IF(A19&lt;&gt;"",'04B Silver Field Treatment'!D20,"")</f>
        <v/>
      </c>
      <c r="D19" t="str">
        <f>IF(A19&lt;&gt;"",'04B Silver Field Treatment'!X20,"")</f>
        <v/>
      </c>
      <c r="E19" t="str">
        <f>IF(A19&lt;&gt;"",'04B Silver Field Treatment'!Y20,"")</f>
        <v/>
      </c>
      <c r="F19" t="str">
        <f>IF(A19&lt;&gt;"",'04B Silver Field Treatment'!J20,"")</f>
        <v/>
      </c>
      <c r="G19" t="str">
        <f>IF(A19&lt;&gt;"",'04B Silver Field Treatment'!K20,"")</f>
        <v/>
      </c>
      <c r="H19" t="str">
        <f>IF(A19&lt;&gt;"",'04B Silver Field Treatment'!M20,"")</f>
        <v/>
      </c>
      <c r="I19" t="str">
        <f>IF(A19&lt;&gt;"",'04B Silver Field Treatment'!N20,"")</f>
        <v/>
      </c>
      <c r="J19" t="str">
        <f>IF(A19&lt;&gt;"",'04B Silver Field Treatment'!O20,"")</f>
        <v/>
      </c>
      <c r="K19" t="str">
        <f>IF(A19&lt;&gt;"",'04B Silver Field Treatment'!P20,"")</f>
        <v/>
      </c>
      <c r="L19" t="str">
        <f>IF(A19&lt;&gt;"",'04B Silver Field Treatment'!V20,"")</f>
        <v/>
      </c>
      <c r="M19" t="str">
        <f>IF(A19&lt;&gt;"",IFERROR(_xludf.XLOOKUP(A19,'03 Bronze Intake'!B$6:B$367,'03 Bronze Intake'!G$6:G$367,""),""),"")</f>
        <v/>
      </c>
      <c r="N19" t="str">
        <f>IF(A19&lt;&gt;"",IFERROR(_xludf.XLOOKUP(A19,'03 Bronze Intake'!B$6:B$367,'03 Bronze Intake'!H$6:H$367,""),""),"")</f>
        <v/>
      </c>
      <c r="O19" t="str">
        <f>IF(A19&lt;&gt;"",IFERROR(_xludf.XLOOKUP(A19,'03 Bronze Intake'!B$6:B$367,'03 Bronze Intake'!M$6:M$367,""),""),"")</f>
        <v/>
      </c>
      <c r="P19" t="str">
        <f>IF(A19&lt;&gt;"",IFERROR(_xludf.XLOOKUP(A19,'03 Bronze Intake'!B$6:B$367,'03 Bronze Intake'!N$6:N$367,""),""),"")</f>
        <v/>
      </c>
      <c r="Q19" t="str">
        <f>IF(A19&lt;&gt;"",IFERROR(_xludf.XLOOKUP(A19,'03 Bronze Intake'!B$6:B$367,'03 Bronze Intake'!O$6:O$367,""),""),"")</f>
        <v/>
      </c>
    </row>
    <row r="20" spans="1:17" x14ac:dyDescent="0.25">
      <c r="A20" t="str">
        <f>IF('04B Silver Field Treatment'!A21&lt;&gt;"",'04B Silver Field Treatment'!A21,"")</f>
        <v/>
      </c>
      <c r="B20" t="str">
        <f>IF(A20&lt;&gt;"",'04B Silver Field Treatment'!B21,"")</f>
        <v/>
      </c>
      <c r="C20" t="str">
        <f>IF(A20&lt;&gt;"",'04B Silver Field Treatment'!D21,"")</f>
        <v/>
      </c>
      <c r="D20" t="str">
        <f>IF(A20&lt;&gt;"",'04B Silver Field Treatment'!X21,"")</f>
        <v/>
      </c>
      <c r="E20" t="str">
        <f>IF(A20&lt;&gt;"",'04B Silver Field Treatment'!Y21,"")</f>
        <v/>
      </c>
      <c r="F20" t="str">
        <f>IF(A20&lt;&gt;"",'04B Silver Field Treatment'!J21,"")</f>
        <v/>
      </c>
      <c r="G20" t="str">
        <f>IF(A20&lt;&gt;"",'04B Silver Field Treatment'!K21,"")</f>
        <v/>
      </c>
      <c r="H20" t="str">
        <f>IF(A20&lt;&gt;"",'04B Silver Field Treatment'!M21,"")</f>
        <v/>
      </c>
      <c r="I20" t="str">
        <f>IF(A20&lt;&gt;"",'04B Silver Field Treatment'!N21,"")</f>
        <v/>
      </c>
      <c r="J20" t="str">
        <f>IF(A20&lt;&gt;"",'04B Silver Field Treatment'!O21,"")</f>
        <v/>
      </c>
      <c r="K20" t="str">
        <f>IF(A20&lt;&gt;"",'04B Silver Field Treatment'!P21,"")</f>
        <v/>
      </c>
      <c r="L20" t="str">
        <f>IF(A20&lt;&gt;"",'04B Silver Field Treatment'!V21,"")</f>
        <v/>
      </c>
      <c r="M20" t="str">
        <f>IF(A20&lt;&gt;"",IFERROR(_xludf.XLOOKUP(A20,'03 Bronze Intake'!B$6:B$367,'03 Bronze Intake'!G$6:G$367,""),""),"")</f>
        <v/>
      </c>
      <c r="N20" t="str">
        <f>IF(A20&lt;&gt;"",IFERROR(_xludf.XLOOKUP(A20,'03 Bronze Intake'!B$6:B$367,'03 Bronze Intake'!H$6:H$367,""),""),"")</f>
        <v/>
      </c>
      <c r="O20" t="str">
        <f>IF(A20&lt;&gt;"",IFERROR(_xludf.XLOOKUP(A20,'03 Bronze Intake'!B$6:B$367,'03 Bronze Intake'!M$6:M$367,""),""),"")</f>
        <v/>
      </c>
      <c r="P20" t="str">
        <f>IF(A20&lt;&gt;"",IFERROR(_xludf.XLOOKUP(A20,'03 Bronze Intake'!B$6:B$367,'03 Bronze Intake'!N$6:N$367,""),""),"")</f>
        <v/>
      </c>
      <c r="Q20" t="str">
        <f>IF(A20&lt;&gt;"",IFERROR(_xludf.XLOOKUP(A20,'03 Bronze Intake'!B$6:B$367,'03 Bronze Intake'!O$6:O$367,""),""),"")</f>
        <v/>
      </c>
    </row>
    <row r="21" spans="1:17" x14ac:dyDescent="0.25">
      <c r="A21" t="str">
        <f>IF('04B Silver Field Treatment'!A22&lt;&gt;"",'04B Silver Field Treatment'!A22,"")</f>
        <v/>
      </c>
      <c r="B21" t="str">
        <f>IF(A21&lt;&gt;"",'04B Silver Field Treatment'!B22,"")</f>
        <v/>
      </c>
      <c r="C21" t="str">
        <f>IF(A21&lt;&gt;"",'04B Silver Field Treatment'!D22,"")</f>
        <v/>
      </c>
      <c r="D21" t="str">
        <f>IF(A21&lt;&gt;"",'04B Silver Field Treatment'!X22,"")</f>
        <v/>
      </c>
      <c r="E21" t="str">
        <f>IF(A21&lt;&gt;"",'04B Silver Field Treatment'!Y22,"")</f>
        <v/>
      </c>
      <c r="F21" t="str">
        <f>IF(A21&lt;&gt;"",'04B Silver Field Treatment'!J22,"")</f>
        <v/>
      </c>
      <c r="G21" t="str">
        <f>IF(A21&lt;&gt;"",'04B Silver Field Treatment'!K22,"")</f>
        <v/>
      </c>
      <c r="H21" t="str">
        <f>IF(A21&lt;&gt;"",'04B Silver Field Treatment'!M22,"")</f>
        <v/>
      </c>
      <c r="I21" t="str">
        <f>IF(A21&lt;&gt;"",'04B Silver Field Treatment'!N22,"")</f>
        <v/>
      </c>
      <c r="J21" t="str">
        <f>IF(A21&lt;&gt;"",'04B Silver Field Treatment'!O22,"")</f>
        <v/>
      </c>
      <c r="K21" t="str">
        <f>IF(A21&lt;&gt;"",'04B Silver Field Treatment'!P22,"")</f>
        <v/>
      </c>
      <c r="L21" t="str">
        <f>IF(A21&lt;&gt;"",'04B Silver Field Treatment'!V22,"")</f>
        <v/>
      </c>
      <c r="M21" t="str">
        <f>IF(A21&lt;&gt;"",IFERROR(_xludf.XLOOKUP(A21,'03 Bronze Intake'!B$6:B$367,'03 Bronze Intake'!G$6:G$367,""),""),"")</f>
        <v/>
      </c>
      <c r="N21" t="str">
        <f>IF(A21&lt;&gt;"",IFERROR(_xludf.XLOOKUP(A21,'03 Bronze Intake'!B$6:B$367,'03 Bronze Intake'!H$6:H$367,""),""),"")</f>
        <v/>
      </c>
      <c r="O21" t="str">
        <f>IF(A21&lt;&gt;"",IFERROR(_xludf.XLOOKUP(A21,'03 Bronze Intake'!B$6:B$367,'03 Bronze Intake'!M$6:M$367,""),""),"")</f>
        <v/>
      </c>
      <c r="P21" t="str">
        <f>IF(A21&lt;&gt;"",IFERROR(_xludf.XLOOKUP(A21,'03 Bronze Intake'!B$6:B$367,'03 Bronze Intake'!N$6:N$367,""),""),"")</f>
        <v/>
      </c>
      <c r="Q21" t="str">
        <f>IF(A21&lt;&gt;"",IFERROR(_xludf.XLOOKUP(A21,'03 Bronze Intake'!B$6:B$367,'03 Bronze Intake'!O$6:O$367,""),""),"")</f>
        <v/>
      </c>
    </row>
    <row r="22" spans="1:17" x14ac:dyDescent="0.25">
      <c r="A22" t="str">
        <f>IF('04B Silver Field Treatment'!A23&lt;&gt;"",'04B Silver Field Treatment'!A23,"")</f>
        <v/>
      </c>
      <c r="B22" t="str">
        <f>IF(A22&lt;&gt;"",'04B Silver Field Treatment'!B23,"")</f>
        <v/>
      </c>
      <c r="C22" t="str">
        <f>IF(A22&lt;&gt;"",'04B Silver Field Treatment'!D23,"")</f>
        <v/>
      </c>
      <c r="D22" t="str">
        <f>IF(A22&lt;&gt;"",'04B Silver Field Treatment'!X23,"")</f>
        <v/>
      </c>
      <c r="E22" t="str">
        <f>IF(A22&lt;&gt;"",'04B Silver Field Treatment'!Y23,"")</f>
        <v/>
      </c>
      <c r="F22" t="str">
        <f>IF(A22&lt;&gt;"",'04B Silver Field Treatment'!J23,"")</f>
        <v/>
      </c>
      <c r="G22" t="str">
        <f>IF(A22&lt;&gt;"",'04B Silver Field Treatment'!K23,"")</f>
        <v/>
      </c>
      <c r="H22" t="str">
        <f>IF(A22&lt;&gt;"",'04B Silver Field Treatment'!M23,"")</f>
        <v/>
      </c>
      <c r="I22" t="str">
        <f>IF(A22&lt;&gt;"",'04B Silver Field Treatment'!N23,"")</f>
        <v/>
      </c>
      <c r="J22" t="str">
        <f>IF(A22&lt;&gt;"",'04B Silver Field Treatment'!O23,"")</f>
        <v/>
      </c>
      <c r="K22" t="str">
        <f>IF(A22&lt;&gt;"",'04B Silver Field Treatment'!P23,"")</f>
        <v/>
      </c>
      <c r="L22" t="str">
        <f>IF(A22&lt;&gt;"",'04B Silver Field Treatment'!V23,"")</f>
        <v/>
      </c>
      <c r="M22" t="str">
        <f>IF(A22&lt;&gt;"",IFERROR(_xludf.XLOOKUP(A22,'03 Bronze Intake'!B$6:B$367,'03 Bronze Intake'!G$6:G$367,""),""),"")</f>
        <v/>
      </c>
      <c r="N22" t="str">
        <f>IF(A22&lt;&gt;"",IFERROR(_xludf.XLOOKUP(A22,'03 Bronze Intake'!B$6:B$367,'03 Bronze Intake'!H$6:H$367,""),""),"")</f>
        <v/>
      </c>
      <c r="O22" t="str">
        <f>IF(A22&lt;&gt;"",IFERROR(_xludf.XLOOKUP(A22,'03 Bronze Intake'!B$6:B$367,'03 Bronze Intake'!M$6:M$367,""),""),"")</f>
        <v/>
      </c>
      <c r="P22" t="str">
        <f>IF(A22&lt;&gt;"",IFERROR(_xludf.XLOOKUP(A22,'03 Bronze Intake'!B$6:B$367,'03 Bronze Intake'!N$6:N$367,""),""),"")</f>
        <v/>
      </c>
      <c r="Q22" t="str">
        <f>IF(A22&lt;&gt;"",IFERROR(_xludf.XLOOKUP(A22,'03 Bronze Intake'!B$6:B$367,'03 Bronze Intake'!O$6:O$367,""),""),"")</f>
        <v/>
      </c>
    </row>
    <row r="23" spans="1:17" x14ac:dyDescent="0.25">
      <c r="A23" t="str">
        <f>IF('04B Silver Field Treatment'!A24&lt;&gt;"",'04B Silver Field Treatment'!A24,"")</f>
        <v/>
      </c>
      <c r="B23" t="str">
        <f>IF(A23&lt;&gt;"",'04B Silver Field Treatment'!B24,"")</f>
        <v/>
      </c>
      <c r="C23" t="str">
        <f>IF(A23&lt;&gt;"",'04B Silver Field Treatment'!D24,"")</f>
        <v/>
      </c>
      <c r="D23" t="str">
        <f>IF(A23&lt;&gt;"",'04B Silver Field Treatment'!X24,"")</f>
        <v/>
      </c>
      <c r="E23" t="str">
        <f>IF(A23&lt;&gt;"",'04B Silver Field Treatment'!Y24,"")</f>
        <v/>
      </c>
      <c r="F23" t="str">
        <f>IF(A23&lt;&gt;"",'04B Silver Field Treatment'!J24,"")</f>
        <v/>
      </c>
      <c r="G23" t="str">
        <f>IF(A23&lt;&gt;"",'04B Silver Field Treatment'!K24,"")</f>
        <v/>
      </c>
      <c r="H23" t="str">
        <f>IF(A23&lt;&gt;"",'04B Silver Field Treatment'!M24,"")</f>
        <v/>
      </c>
      <c r="I23" t="str">
        <f>IF(A23&lt;&gt;"",'04B Silver Field Treatment'!N24,"")</f>
        <v/>
      </c>
      <c r="J23" t="str">
        <f>IF(A23&lt;&gt;"",'04B Silver Field Treatment'!O24,"")</f>
        <v/>
      </c>
      <c r="K23" t="str">
        <f>IF(A23&lt;&gt;"",'04B Silver Field Treatment'!P24,"")</f>
        <v/>
      </c>
      <c r="L23" t="str">
        <f>IF(A23&lt;&gt;"",'04B Silver Field Treatment'!V24,"")</f>
        <v/>
      </c>
      <c r="M23" t="str">
        <f>IF(A23&lt;&gt;"",IFERROR(_xludf.XLOOKUP(A23,'03 Bronze Intake'!B$6:B$367,'03 Bronze Intake'!G$6:G$367,""),""),"")</f>
        <v/>
      </c>
      <c r="N23" t="str">
        <f>IF(A23&lt;&gt;"",IFERROR(_xludf.XLOOKUP(A23,'03 Bronze Intake'!B$6:B$367,'03 Bronze Intake'!H$6:H$367,""),""),"")</f>
        <v/>
      </c>
      <c r="O23" t="str">
        <f>IF(A23&lt;&gt;"",IFERROR(_xludf.XLOOKUP(A23,'03 Bronze Intake'!B$6:B$367,'03 Bronze Intake'!M$6:M$367,""),""),"")</f>
        <v/>
      </c>
      <c r="P23" t="str">
        <f>IF(A23&lt;&gt;"",IFERROR(_xludf.XLOOKUP(A23,'03 Bronze Intake'!B$6:B$367,'03 Bronze Intake'!N$6:N$367,""),""),"")</f>
        <v/>
      </c>
      <c r="Q23" t="str">
        <f>IF(A23&lt;&gt;"",IFERROR(_xludf.XLOOKUP(A23,'03 Bronze Intake'!B$6:B$367,'03 Bronze Intake'!O$6:O$367,""),""),"")</f>
        <v/>
      </c>
    </row>
    <row r="24" spans="1:17" x14ac:dyDescent="0.25">
      <c r="A24" t="str">
        <f>IF('04B Silver Field Treatment'!A25&lt;&gt;"",'04B Silver Field Treatment'!A25,"")</f>
        <v/>
      </c>
      <c r="B24" t="str">
        <f>IF(A24&lt;&gt;"",'04B Silver Field Treatment'!B25,"")</f>
        <v/>
      </c>
      <c r="C24" t="str">
        <f>IF(A24&lt;&gt;"",'04B Silver Field Treatment'!D25,"")</f>
        <v/>
      </c>
      <c r="D24" t="str">
        <f>IF(A24&lt;&gt;"",'04B Silver Field Treatment'!X25,"")</f>
        <v/>
      </c>
      <c r="E24" t="str">
        <f>IF(A24&lt;&gt;"",'04B Silver Field Treatment'!Y25,"")</f>
        <v/>
      </c>
      <c r="F24" t="str">
        <f>IF(A24&lt;&gt;"",'04B Silver Field Treatment'!J25,"")</f>
        <v/>
      </c>
      <c r="G24" t="str">
        <f>IF(A24&lt;&gt;"",'04B Silver Field Treatment'!K25,"")</f>
        <v/>
      </c>
      <c r="H24" t="str">
        <f>IF(A24&lt;&gt;"",'04B Silver Field Treatment'!M25,"")</f>
        <v/>
      </c>
      <c r="I24" t="str">
        <f>IF(A24&lt;&gt;"",'04B Silver Field Treatment'!N25,"")</f>
        <v/>
      </c>
      <c r="J24" t="str">
        <f>IF(A24&lt;&gt;"",'04B Silver Field Treatment'!O25,"")</f>
        <v/>
      </c>
      <c r="K24" t="str">
        <f>IF(A24&lt;&gt;"",'04B Silver Field Treatment'!P25,"")</f>
        <v/>
      </c>
      <c r="L24" t="str">
        <f>IF(A24&lt;&gt;"",'04B Silver Field Treatment'!V25,"")</f>
        <v/>
      </c>
      <c r="M24" t="str">
        <f>IF(A24&lt;&gt;"",IFERROR(_xludf.XLOOKUP(A24,'03 Bronze Intake'!B$6:B$367,'03 Bronze Intake'!G$6:G$367,""),""),"")</f>
        <v/>
      </c>
      <c r="N24" t="str">
        <f>IF(A24&lt;&gt;"",IFERROR(_xludf.XLOOKUP(A24,'03 Bronze Intake'!B$6:B$367,'03 Bronze Intake'!H$6:H$367,""),""),"")</f>
        <v/>
      </c>
      <c r="O24" t="str">
        <f>IF(A24&lt;&gt;"",IFERROR(_xludf.XLOOKUP(A24,'03 Bronze Intake'!B$6:B$367,'03 Bronze Intake'!M$6:M$367,""),""),"")</f>
        <v/>
      </c>
      <c r="P24" t="str">
        <f>IF(A24&lt;&gt;"",IFERROR(_xludf.XLOOKUP(A24,'03 Bronze Intake'!B$6:B$367,'03 Bronze Intake'!N$6:N$367,""),""),"")</f>
        <v/>
      </c>
      <c r="Q24" t="str">
        <f>IF(A24&lt;&gt;"",IFERROR(_xludf.XLOOKUP(A24,'03 Bronze Intake'!B$6:B$367,'03 Bronze Intake'!O$6:O$367,""),""),"")</f>
        <v/>
      </c>
    </row>
    <row r="25" spans="1:17" x14ac:dyDescent="0.25">
      <c r="A25" t="str">
        <f>IF('04B Silver Field Treatment'!A26&lt;&gt;"",'04B Silver Field Treatment'!A26,"")</f>
        <v/>
      </c>
      <c r="B25" t="str">
        <f>IF(A25&lt;&gt;"",'04B Silver Field Treatment'!B26,"")</f>
        <v/>
      </c>
      <c r="C25" t="str">
        <f>IF(A25&lt;&gt;"",'04B Silver Field Treatment'!D26,"")</f>
        <v/>
      </c>
      <c r="D25" t="str">
        <f>IF(A25&lt;&gt;"",'04B Silver Field Treatment'!X26,"")</f>
        <v/>
      </c>
      <c r="E25" t="str">
        <f>IF(A25&lt;&gt;"",'04B Silver Field Treatment'!Y26,"")</f>
        <v/>
      </c>
      <c r="F25" t="str">
        <f>IF(A25&lt;&gt;"",'04B Silver Field Treatment'!J26,"")</f>
        <v/>
      </c>
      <c r="G25" t="str">
        <f>IF(A25&lt;&gt;"",'04B Silver Field Treatment'!K26,"")</f>
        <v/>
      </c>
      <c r="H25" t="str">
        <f>IF(A25&lt;&gt;"",'04B Silver Field Treatment'!M26,"")</f>
        <v/>
      </c>
      <c r="I25" t="str">
        <f>IF(A25&lt;&gt;"",'04B Silver Field Treatment'!N26,"")</f>
        <v/>
      </c>
      <c r="J25" t="str">
        <f>IF(A25&lt;&gt;"",'04B Silver Field Treatment'!O26,"")</f>
        <v/>
      </c>
      <c r="K25" t="str">
        <f>IF(A25&lt;&gt;"",'04B Silver Field Treatment'!P26,"")</f>
        <v/>
      </c>
      <c r="L25" t="str">
        <f>IF(A25&lt;&gt;"",'04B Silver Field Treatment'!V26,"")</f>
        <v/>
      </c>
      <c r="M25" t="str">
        <f>IF(A25&lt;&gt;"",IFERROR(_xludf.XLOOKUP(A25,'03 Bronze Intake'!B$6:B$367,'03 Bronze Intake'!G$6:G$367,""),""),"")</f>
        <v/>
      </c>
      <c r="N25" t="str">
        <f>IF(A25&lt;&gt;"",IFERROR(_xludf.XLOOKUP(A25,'03 Bronze Intake'!B$6:B$367,'03 Bronze Intake'!H$6:H$367,""),""),"")</f>
        <v/>
      </c>
      <c r="O25" t="str">
        <f>IF(A25&lt;&gt;"",IFERROR(_xludf.XLOOKUP(A25,'03 Bronze Intake'!B$6:B$367,'03 Bronze Intake'!M$6:M$367,""),""),"")</f>
        <v/>
      </c>
      <c r="P25" t="str">
        <f>IF(A25&lt;&gt;"",IFERROR(_xludf.XLOOKUP(A25,'03 Bronze Intake'!B$6:B$367,'03 Bronze Intake'!N$6:N$367,""),""),"")</f>
        <v/>
      </c>
      <c r="Q25" t="str">
        <f>IF(A25&lt;&gt;"",IFERROR(_xludf.XLOOKUP(A25,'03 Bronze Intake'!B$6:B$367,'03 Bronze Intake'!O$6:O$367,""),""),"")</f>
        <v/>
      </c>
    </row>
    <row r="26" spans="1:17" x14ac:dyDescent="0.25">
      <c r="A26" t="str">
        <f>IF('04B Silver Field Treatment'!A27&lt;&gt;"",'04B Silver Field Treatment'!A27,"")</f>
        <v/>
      </c>
      <c r="B26" t="str">
        <f>IF(A26&lt;&gt;"",'04B Silver Field Treatment'!B27,"")</f>
        <v/>
      </c>
      <c r="C26" t="str">
        <f>IF(A26&lt;&gt;"",'04B Silver Field Treatment'!D27,"")</f>
        <v/>
      </c>
      <c r="D26" t="str">
        <f>IF(A26&lt;&gt;"",'04B Silver Field Treatment'!X27,"")</f>
        <v/>
      </c>
      <c r="E26" t="str">
        <f>IF(A26&lt;&gt;"",'04B Silver Field Treatment'!Y27,"")</f>
        <v/>
      </c>
      <c r="F26" t="str">
        <f>IF(A26&lt;&gt;"",'04B Silver Field Treatment'!J27,"")</f>
        <v/>
      </c>
      <c r="G26" t="str">
        <f>IF(A26&lt;&gt;"",'04B Silver Field Treatment'!K27,"")</f>
        <v/>
      </c>
      <c r="H26" t="str">
        <f>IF(A26&lt;&gt;"",'04B Silver Field Treatment'!M27,"")</f>
        <v/>
      </c>
      <c r="I26" t="str">
        <f>IF(A26&lt;&gt;"",'04B Silver Field Treatment'!N27,"")</f>
        <v/>
      </c>
      <c r="J26" t="str">
        <f>IF(A26&lt;&gt;"",'04B Silver Field Treatment'!O27,"")</f>
        <v/>
      </c>
      <c r="K26" t="str">
        <f>IF(A26&lt;&gt;"",'04B Silver Field Treatment'!P27,"")</f>
        <v/>
      </c>
      <c r="L26" t="str">
        <f>IF(A26&lt;&gt;"",'04B Silver Field Treatment'!V27,"")</f>
        <v/>
      </c>
      <c r="M26" t="str">
        <f>IF(A26&lt;&gt;"",IFERROR(_xludf.XLOOKUP(A26,'03 Bronze Intake'!B$6:B$367,'03 Bronze Intake'!G$6:G$367,""),""),"")</f>
        <v/>
      </c>
      <c r="N26" t="str">
        <f>IF(A26&lt;&gt;"",IFERROR(_xludf.XLOOKUP(A26,'03 Bronze Intake'!B$6:B$367,'03 Bronze Intake'!H$6:H$367,""),""),"")</f>
        <v/>
      </c>
      <c r="O26" t="str">
        <f>IF(A26&lt;&gt;"",IFERROR(_xludf.XLOOKUP(A26,'03 Bronze Intake'!B$6:B$367,'03 Bronze Intake'!M$6:M$367,""),""),"")</f>
        <v/>
      </c>
      <c r="P26" t="str">
        <f>IF(A26&lt;&gt;"",IFERROR(_xludf.XLOOKUP(A26,'03 Bronze Intake'!B$6:B$367,'03 Bronze Intake'!N$6:N$367,""),""),"")</f>
        <v/>
      </c>
      <c r="Q26" t="str">
        <f>IF(A26&lt;&gt;"",IFERROR(_xludf.XLOOKUP(A26,'03 Bronze Intake'!B$6:B$367,'03 Bronze Intake'!O$6:O$367,""),""),"")</f>
        <v/>
      </c>
    </row>
    <row r="27" spans="1:17" x14ac:dyDescent="0.25">
      <c r="A27" t="str">
        <f>IF('04B Silver Field Treatment'!A28&lt;&gt;"",'04B Silver Field Treatment'!A28,"")</f>
        <v/>
      </c>
      <c r="B27" t="str">
        <f>IF(A27&lt;&gt;"",'04B Silver Field Treatment'!B28,"")</f>
        <v/>
      </c>
      <c r="C27" t="str">
        <f>IF(A27&lt;&gt;"",'04B Silver Field Treatment'!D28,"")</f>
        <v/>
      </c>
      <c r="D27" t="str">
        <f>IF(A27&lt;&gt;"",'04B Silver Field Treatment'!X28,"")</f>
        <v/>
      </c>
      <c r="E27" t="str">
        <f>IF(A27&lt;&gt;"",'04B Silver Field Treatment'!Y28,"")</f>
        <v/>
      </c>
      <c r="F27" t="str">
        <f>IF(A27&lt;&gt;"",'04B Silver Field Treatment'!J28,"")</f>
        <v/>
      </c>
      <c r="G27" t="str">
        <f>IF(A27&lt;&gt;"",'04B Silver Field Treatment'!K28,"")</f>
        <v/>
      </c>
      <c r="H27" t="str">
        <f>IF(A27&lt;&gt;"",'04B Silver Field Treatment'!M28,"")</f>
        <v/>
      </c>
      <c r="I27" t="str">
        <f>IF(A27&lt;&gt;"",'04B Silver Field Treatment'!N28,"")</f>
        <v/>
      </c>
      <c r="J27" t="str">
        <f>IF(A27&lt;&gt;"",'04B Silver Field Treatment'!O28,"")</f>
        <v/>
      </c>
      <c r="K27" t="str">
        <f>IF(A27&lt;&gt;"",'04B Silver Field Treatment'!P28,"")</f>
        <v/>
      </c>
      <c r="L27" t="str">
        <f>IF(A27&lt;&gt;"",'04B Silver Field Treatment'!V28,"")</f>
        <v/>
      </c>
      <c r="M27" t="str">
        <f>IF(A27&lt;&gt;"",IFERROR(_xludf.XLOOKUP(A27,'03 Bronze Intake'!B$6:B$367,'03 Bronze Intake'!G$6:G$367,""),""),"")</f>
        <v/>
      </c>
      <c r="N27" t="str">
        <f>IF(A27&lt;&gt;"",IFERROR(_xludf.XLOOKUP(A27,'03 Bronze Intake'!B$6:B$367,'03 Bronze Intake'!H$6:H$367,""),""),"")</f>
        <v/>
      </c>
      <c r="O27" t="str">
        <f>IF(A27&lt;&gt;"",IFERROR(_xludf.XLOOKUP(A27,'03 Bronze Intake'!B$6:B$367,'03 Bronze Intake'!M$6:M$367,""),""),"")</f>
        <v/>
      </c>
      <c r="P27" t="str">
        <f>IF(A27&lt;&gt;"",IFERROR(_xludf.XLOOKUP(A27,'03 Bronze Intake'!B$6:B$367,'03 Bronze Intake'!N$6:N$367,""),""),"")</f>
        <v/>
      </c>
      <c r="Q27" t="str">
        <f>IF(A27&lt;&gt;"",IFERROR(_xludf.XLOOKUP(A27,'03 Bronze Intake'!B$6:B$367,'03 Bronze Intake'!O$6:O$367,""),""),"")</f>
        <v/>
      </c>
    </row>
    <row r="28" spans="1:17" x14ac:dyDescent="0.25">
      <c r="A28" t="str">
        <f>IF('04B Silver Field Treatment'!A29&lt;&gt;"",'04B Silver Field Treatment'!A29,"")</f>
        <v/>
      </c>
      <c r="B28" t="str">
        <f>IF(A28&lt;&gt;"",'04B Silver Field Treatment'!B29,"")</f>
        <v/>
      </c>
      <c r="C28" t="str">
        <f>IF(A28&lt;&gt;"",'04B Silver Field Treatment'!D29,"")</f>
        <v/>
      </c>
      <c r="D28" t="str">
        <f>IF(A28&lt;&gt;"",'04B Silver Field Treatment'!X29,"")</f>
        <v/>
      </c>
      <c r="E28" t="str">
        <f>IF(A28&lt;&gt;"",'04B Silver Field Treatment'!Y29,"")</f>
        <v/>
      </c>
      <c r="F28" t="str">
        <f>IF(A28&lt;&gt;"",'04B Silver Field Treatment'!J29,"")</f>
        <v/>
      </c>
      <c r="G28" t="str">
        <f>IF(A28&lt;&gt;"",'04B Silver Field Treatment'!K29,"")</f>
        <v/>
      </c>
      <c r="H28" t="str">
        <f>IF(A28&lt;&gt;"",'04B Silver Field Treatment'!M29,"")</f>
        <v/>
      </c>
      <c r="I28" t="str">
        <f>IF(A28&lt;&gt;"",'04B Silver Field Treatment'!N29,"")</f>
        <v/>
      </c>
      <c r="J28" t="str">
        <f>IF(A28&lt;&gt;"",'04B Silver Field Treatment'!O29,"")</f>
        <v/>
      </c>
      <c r="K28" t="str">
        <f>IF(A28&lt;&gt;"",'04B Silver Field Treatment'!P29,"")</f>
        <v/>
      </c>
      <c r="L28" t="str">
        <f>IF(A28&lt;&gt;"",'04B Silver Field Treatment'!V29,"")</f>
        <v/>
      </c>
      <c r="M28" t="str">
        <f>IF(A28&lt;&gt;"",IFERROR(_xludf.XLOOKUP(A28,'03 Bronze Intake'!B$6:B$367,'03 Bronze Intake'!G$6:G$367,""),""),"")</f>
        <v/>
      </c>
      <c r="N28" t="str">
        <f>IF(A28&lt;&gt;"",IFERROR(_xludf.XLOOKUP(A28,'03 Bronze Intake'!B$6:B$367,'03 Bronze Intake'!H$6:H$367,""),""),"")</f>
        <v/>
      </c>
      <c r="O28" t="str">
        <f>IF(A28&lt;&gt;"",IFERROR(_xludf.XLOOKUP(A28,'03 Bronze Intake'!B$6:B$367,'03 Bronze Intake'!M$6:M$367,""),""),"")</f>
        <v/>
      </c>
      <c r="P28" t="str">
        <f>IF(A28&lt;&gt;"",IFERROR(_xludf.XLOOKUP(A28,'03 Bronze Intake'!B$6:B$367,'03 Bronze Intake'!N$6:N$367,""),""),"")</f>
        <v/>
      </c>
      <c r="Q28" t="str">
        <f>IF(A28&lt;&gt;"",IFERROR(_xludf.XLOOKUP(A28,'03 Bronze Intake'!B$6:B$367,'03 Bronze Intake'!O$6:O$367,""),""),"")</f>
        <v/>
      </c>
    </row>
    <row r="29" spans="1:17" x14ac:dyDescent="0.25">
      <c r="A29" t="str">
        <f>IF('04B Silver Field Treatment'!A30&lt;&gt;"",'04B Silver Field Treatment'!A30,"")</f>
        <v/>
      </c>
      <c r="B29" t="str">
        <f>IF(A29&lt;&gt;"",'04B Silver Field Treatment'!B30,"")</f>
        <v/>
      </c>
      <c r="C29" t="str">
        <f>IF(A29&lt;&gt;"",'04B Silver Field Treatment'!D30,"")</f>
        <v/>
      </c>
      <c r="D29" t="str">
        <f>IF(A29&lt;&gt;"",'04B Silver Field Treatment'!X30,"")</f>
        <v/>
      </c>
      <c r="E29" t="str">
        <f>IF(A29&lt;&gt;"",'04B Silver Field Treatment'!Y30,"")</f>
        <v/>
      </c>
      <c r="F29" t="str">
        <f>IF(A29&lt;&gt;"",'04B Silver Field Treatment'!J30,"")</f>
        <v/>
      </c>
      <c r="G29" t="str">
        <f>IF(A29&lt;&gt;"",'04B Silver Field Treatment'!K30,"")</f>
        <v/>
      </c>
      <c r="H29" t="str">
        <f>IF(A29&lt;&gt;"",'04B Silver Field Treatment'!M30,"")</f>
        <v/>
      </c>
      <c r="I29" t="str">
        <f>IF(A29&lt;&gt;"",'04B Silver Field Treatment'!N30,"")</f>
        <v/>
      </c>
      <c r="J29" t="str">
        <f>IF(A29&lt;&gt;"",'04B Silver Field Treatment'!O30,"")</f>
        <v/>
      </c>
      <c r="K29" t="str">
        <f>IF(A29&lt;&gt;"",'04B Silver Field Treatment'!P30,"")</f>
        <v/>
      </c>
      <c r="L29" t="str">
        <f>IF(A29&lt;&gt;"",'04B Silver Field Treatment'!V30,"")</f>
        <v/>
      </c>
      <c r="M29" t="str">
        <f>IF(A29&lt;&gt;"",IFERROR(_xludf.XLOOKUP(A29,'03 Bronze Intake'!B$6:B$367,'03 Bronze Intake'!G$6:G$367,""),""),"")</f>
        <v/>
      </c>
      <c r="N29" t="str">
        <f>IF(A29&lt;&gt;"",IFERROR(_xludf.XLOOKUP(A29,'03 Bronze Intake'!B$6:B$367,'03 Bronze Intake'!H$6:H$367,""),""),"")</f>
        <v/>
      </c>
      <c r="O29" t="str">
        <f>IF(A29&lt;&gt;"",IFERROR(_xludf.XLOOKUP(A29,'03 Bronze Intake'!B$6:B$367,'03 Bronze Intake'!M$6:M$367,""),""),"")</f>
        <v/>
      </c>
      <c r="P29" t="str">
        <f>IF(A29&lt;&gt;"",IFERROR(_xludf.XLOOKUP(A29,'03 Bronze Intake'!B$6:B$367,'03 Bronze Intake'!N$6:N$367,""),""),"")</f>
        <v/>
      </c>
      <c r="Q29" t="str">
        <f>IF(A29&lt;&gt;"",IFERROR(_xludf.XLOOKUP(A29,'03 Bronze Intake'!B$6:B$367,'03 Bronze Intake'!O$6:O$367,""),""),"")</f>
        <v/>
      </c>
    </row>
    <row r="30" spans="1:17" x14ac:dyDescent="0.25">
      <c r="A30" t="str">
        <f>IF('04B Silver Field Treatment'!A31&lt;&gt;"",'04B Silver Field Treatment'!A31,"")</f>
        <v/>
      </c>
      <c r="B30" t="str">
        <f>IF(A30&lt;&gt;"",'04B Silver Field Treatment'!B31,"")</f>
        <v/>
      </c>
      <c r="C30" t="str">
        <f>IF(A30&lt;&gt;"",'04B Silver Field Treatment'!D31,"")</f>
        <v/>
      </c>
      <c r="D30" t="str">
        <f>IF(A30&lt;&gt;"",'04B Silver Field Treatment'!X31,"")</f>
        <v/>
      </c>
      <c r="E30" t="str">
        <f>IF(A30&lt;&gt;"",'04B Silver Field Treatment'!Y31,"")</f>
        <v/>
      </c>
      <c r="F30" t="str">
        <f>IF(A30&lt;&gt;"",'04B Silver Field Treatment'!J31,"")</f>
        <v/>
      </c>
      <c r="G30" t="str">
        <f>IF(A30&lt;&gt;"",'04B Silver Field Treatment'!K31,"")</f>
        <v/>
      </c>
      <c r="H30" t="str">
        <f>IF(A30&lt;&gt;"",'04B Silver Field Treatment'!M31,"")</f>
        <v/>
      </c>
      <c r="I30" t="str">
        <f>IF(A30&lt;&gt;"",'04B Silver Field Treatment'!N31,"")</f>
        <v/>
      </c>
      <c r="J30" t="str">
        <f>IF(A30&lt;&gt;"",'04B Silver Field Treatment'!O31,"")</f>
        <v/>
      </c>
      <c r="K30" t="str">
        <f>IF(A30&lt;&gt;"",'04B Silver Field Treatment'!P31,"")</f>
        <v/>
      </c>
      <c r="L30" t="str">
        <f>IF(A30&lt;&gt;"",'04B Silver Field Treatment'!V31,"")</f>
        <v/>
      </c>
      <c r="M30" t="str">
        <f>IF(A30&lt;&gt;"",IFERROR(_xludf.XLOOKUP(A30,'03 Bronze Intake'!B$6:B$367,'03 Bronze Intake'!G$6:G$367,""),""),"")</f>
        <v/>
      </c>
      <c r="N30" t="str">
        <f>IF(A30&lt;&gt;"",IFERROR(_xludf.XLOOKUP(A30,'03 Bronze Intake'!B$6:B$367,'03 Bronze Intake'!H$6:H$367,""),""),"")</f>
        <v/>
      </c>
      <c r="O30" t="str">
        <f>IF(A30&lt;&gt;"",IFERROR(_xludf.XLOOKUP(A30,'03 Bronze Intake'!B$6:B$367,'03 Bronze Intake'!M$6:M$367,""),""),"")</f>
        <v/>
      </c>
      <c r="P30" t="str">
        <f>IF(A30&lt;&gt;"",IFERROR(_xludf.XLOOKUP(A30,'03 Bronze Intake'!B$6:B$367,'03 Bronze Intake'!N$6:N$367,""),""),"")</f>
        <v/>
      </c>
      <c r="Q30" t="str">
        <f>IF(A30&lt;&gt;"",IFERROR(_xludf.XLOOKUP(A30,'03 Bronze Intake'!B$6:B$367,'03 Bronze Intake'!O$6:O$367,""),""),"")</f>
        <v/>
      </c>
    </row>
    <row r="31" spans="1:17" x14ac:dyDescent="0.25">
      <c r="A31" t="str">
        <f>IF('04B Silver Field Treatment'!A32&lt;&gt;"",'04B Silver Field Treatment'!A32,"")</f>
        <v/>
      </c>
      <c r="B31" t="str">
        <f>IF(A31&lt;&gt;"",'04B Silver Field Treatment'!B32,"")</f>
        <v/>
      </c>
      <c r="C31" t="str">
        <f>IF(A31&lt;&gt;"",'04B Silver Field Treatment'!D32,"")</f>
        <v/>
      </c>
      <c r="D31" t="str">
        <f>IF(A31&lt;&gt;"",'04B Silver Field Treatment'!X32,"")</f>
        <v/>
      </c>
      <c r="E31" t="str">
        <f>IF(A31&lt;&gt;"",'04B Silver Field Treatment'!Y32,"")</f>
        <v/>
      </c>
      <c r="F31" t="str">
        <f>IF(A31&lt;&gt;"",'04B Silver Field Treatment'!J32,"")</f>
        <v/>
      </c>
      <c r="G31" t="str">
        <f>IF(A31&lt;&gt;"",'04B Silver Field Treatment'!K32,"")</f>
        <v/>
      </c>
      <c r="H31" t="str">
        <f>IF(A31&lt;&gt;"",'04B Silver Field Treatment'!M32,"")</f>
        <v/>
      </c>
      <c r="I31" t="str">
        <f>IF(A31&lt;&gt;"",'04B Silver Field Treatment'!N32,"")</f>
        <v/>
      </c>
      <c r="J31" t="str">
        <f>IF(A31&lt;&gt;"",'04B Silver Field Treatment'!O32,"")</f>
        <v/>
      </c>
      <c r="K31" t="str">
        <f>IF(A31&lt;&gt;"",'04B Silver Field Treatment'!P32,"")</f>
        <v/>
      </c>
      <c r="L31" t="str">
        <f>IF(A31&lt;&gt;"",'04B Silver Field Treatment'!V32,"")</f>
        <v/>
      </c>
      <c r="M31" t="str">
        <f>IF(A31&lt;&gt;"",IFERROR(_xludf.XLOOKUP(A31,'03 Bronze Intake'!B$6:B$367,'03 Bronze Intake'!G$6:G$367,""),""),"")</f>
        <v/>
      </c>
      <c r="N31" t="str">
        <f>IF(A31&lt;&gt;"",IFERROR(_xludf.XLOOKUP(A31,'03 Bronze Intake'!B$6:B$367,'03 Bronze Intake'!H$6:H$367,""),""),"")</f>
        <v/>
      </c>
      <c r="O31" t="str">
        <f>IF(A31&lt;&gt;"",IFERROR(_xludf.XLOOKUP(A31,'03 Bronze Intake'!B$6:B$367,'03 Bronze Intake'!M$6:M$367,""),""),"")</f>
        <v/>
      </c>
      <c r="P31" t="str">
        <f>IF(A31&lt;&gt;"",IFERROR(_xludf.XLOOKUP(A31,'03 Bronze Intake'!B$6:B$367,'03 Bronze Intake'!N$6:N$367,""),""),"")</f>
        <v/>
      </c>
      <c r="Q31" t="str">
        <f>IF(A31&lt;&gt;"",IFERROR(_xludf.XLOOKUP(A31,'03 Bronze Intake'!B$6:B$367,'03 Bronze Intake'!O$6:O$367,""),""),"")</f>
        <v/>
      </c>
    </row>
    <row r="32" spans="1:17" x14ac:dyDescent="0.25">
      <c r="A32" t="str">
        <f>IF('04B Silver Field Treatment'!A33&lt;&gt;"",'04B Silver Field Treatment'!A33,"")</f>
        <v/>
      </c>
      <c r="B32" t="str">
        <f>IF(A32&lt;&gt;"",'04B Silver Field Treatment'!B33,"")</f>
        <v/>
      </c>
      <c r="C32" t="str">
        <f>IF(A32&lt;&gt;"",'04B Silver Field Treatment'!D33,"")</f>
        <v/>
      </c>
      <c r="D32" t="str">
        <f>IF(A32&lt;&gt;"",'04B Silver Field Treatment'!X33,"")</f>
        <v/>
      </c>
      <c r="E32" t="str">
        <f>IF(A32&lt;&gt;"",'04B Silver Field Treatment'!Y33,"")</f>
        <v/>
      </c>
      <c r="F32" t="str">
        <f>IF(A32&lt;&gt;"",'04B Silver Field Treatment'!J33,"")</f>
        <v/>
      </c>
      <c r="G32" t="str">
        <f>IF(A32&lt;&gt;"",'04B Silver Field Treatment'!K33,"")</f>
        <v/>
      </c>
      <c r="H32" t="str">
        <f>IF(A32&lt;&gt;"",'04B Silver Field Treatment'!M33,"")</f>
        <v/>
      </c>
      <c r="I32" t="str">
        <f>IF(A32&lt;&gt;"",'04B Silver Field Treatment'!N33,"")</f>
        <v/>
      </c>
      <c r="J32" t="str">
        <f>IF(A32&lt;&gt;"",'04B Silver Field Treatment'!O33,"")</f>
        <v/>
      </c>
      <c r="K32" t="str">
        <f>IF(A32&lt;&gt;"",'04B Silver Field Treatment'!P33,"")</f>
        <v/>
      </c>
      <c r="L32" t="str">
        <f>IF(A32&lt;&gt;"",'04B Silver Field Treatment'!V33,"")</f>
        <v/>
      </c>
      <c r="M32" t="str">
        <f>IF(A32&lt;&gt;"",IFERROR(_xludf.XLOOKUP(A32,'03 Bronze Intake'!B$6:B$367,'03 Bronze Intake'!G$6:G$367,""),""),"")</f>
        <v/>
      </c>
      <c r="N32" t="str">
        <f>IF(A32&lt;&gt;"",IFERROR(_xludf.XLOOKUP(A32,'03 Bronze Intake'!B$6:B$367,'03 Bronze Intake'!H$6:H$367,""),""),"")</f>
        <v/>
      </c>
      <c r="O32" t="str">
        <f>IF(A32&lt;&gt;"",IFERROR(_xludf.XLOOKUP(A32,'03 Bronze Intake'!B$6:B$367,'03 Bronze Intake'!M$6:M$367,""),""),"")</f>
        <v/>
      </c>
      <c r="P32" t="str">
        <f>IF(A32&lt;&gt;"",IFERROR(_xludf.XLOOKUP(A32,'03 Bronze Intake'!B$6:B$367,'03 Bronze Intake'!N$6:N$367,""),""),"")</f>
        <v/>
      </c>
      <c r="Q32" t="str">
        <f>IF(A32&lt;&gt;"",IFERROR(_xludf.XLOOKUP(A32,'03 Bronze Intake'!B$6:B$367,'03 Bronze Intake'!O$6:O$367,""),""),"")</f>
        <v/>
      </c>
    </row>
    <row r="33" spans="1:17" x14ac:dyDescent="0.25">
      <c r="A33" t="str">
        <f>IF('04B Silver Field Treatment'!A34&lt;&gt;"",'04B Silver Field Treatment'!A34,"")</f>
        <v/>
      </c>
      <c r="B33" t="str">
        <f>IF(A33&lt;&gt;"",'04B Silver Field Treatment'!B34,"")</f>
        <v/>
      </c>
      <c r="C33" t="str">
        <f>IF(A33&lt;&gt;"",'04B Silver Field Treatment'!D34,"")</f>
        <v/>
      </c>
      <c r="D33" t="str">
        <f>IF(A33&lt;&gt;"",'04B Silver Field Treatment'!X34,"")</f>
        <v/>
      </c>
      <c r="E33" t="str">
        <f>IF(A33&lt;&gt;"",'04B Silver Field Treatment'!Y34,"")</f>
        <v/>
      </c>
      <c r="F33" t="str">
        <f>IF(A33&lt;&gt;"",'04B Silver Field Treatment'!J34,"")</f>
        <v/>
      </c>
      <c r="G33" t="str">
        <f>IF(A33&lt;&gt;"",'04B Silver Field Treatment'!K34,"")</f>
        <v/>
      </c>
      <c r="H33" t="str">
        <f>IF(A33&lt;&gt;"",'04B Silver Field Treatment'!M34,"")</f>
        <v/>
      </c>
      <c r="I33" t="str">
        <f>IF(A33&lt;&gt;"",'04B Silver Field Treatment'!N34,"")</f>
        <v/>
      </c>
      <c r="J33" t="str">
        <f>IF(A33&lt;&gt;"",'04B Silver Field Treatment'!O34,"")</f>
        <v/>
      </c>
      <c r="K33" t="str">
        <f>IF(A33&lt;&gt;"",'04B Silver Field Treatment'!P34,"")</f>
        <v/>
      </c>
      <c r="L33" t="str">
        <f>IF(A33&lt;&gt;"",'04B Silver Field Treatment'!V34,"")</f>
        <v/>
      </c>
      <c r="M33" t="str">
        <f>IF(A33&lt;&gt;"",IFERROR(_xludf.XLOOKUP(A33,'03 Bronze Intake'!B$6:B$367,'03 Bronze Intake'!G$6:G$367,""),""),"")</f>
        <v/>
      </c>
      <c r="N33" t="str">
        <f>IF(A33&lt;&gt;"",IFERROR(_xludf.XLOOKUP(A33,'03 Bronze Intake'!B$6:B$367,'03 Bronze Intake'!H$6:H$367,""),""),"")</f>
        <v/>
      </c>
      <c r="O33" t="str">
        <f>IF(A33&lt;&gt;"",IFERROR(_xludf.XLOOKUP(A33,'03 Bronze Intake'!B$6:B$367,'03 Bronze Intake'!M$6:M$367,""),""),"")</f>
        <v/>
      </c>
      <c r="P33" t="str">
        <f>IF(A33&lt;&gt;"",IFERROR(_xludf.XLOOKUP(A33,'03 Bronze Intake'!B$6:B$367,'03 Bronze Intake'!N$6:N$367,""),""),"")</f>
        <v/>
      </c>
      <c r="Q33" t="str">
        <f>IF(A33&lt;&gt;"",IFERROR(_xludf.XLOOKUP(A33,'03 Bronze Intake'!B$6:B$367,'03 Bronze Intake'!O$6:O$367,""),""),"")</f>
        <v/>
      </c>
    </row>
    <row r="34" spans="1:17" x14ac:dyDescent="0.25">
      <c r="A34" t="str">
        <f>IF('04B Silver Field Treatment'!A35&lt;&gt;"",'04B Silver Field Treatment'!A35,"")</f>
        <v/>
      </c>
      <c r="B34" t="str">
        <f>IF(A34&lt;&gt;"",'04B Silver Field Treatment'!B35,"")</f>
        <v/>
      </c>
      <c r="C34" t="str">
        <f>IF(A34&lt;&gt;"",'04B Silver Field Treatment'!D35,"")</f>
        <v/>
      </c>
      <c r="D34" t="str">
        <f>IF(A34&lt;&gt;"",'04B Silver Field Treatment'!X35,"")</f>
        <v/>
      </c>
      <c r="E34" t="str">
        <f>IF(A34&lt;&gt;"",'04B Silver Field Treatment'!Y35,"")</f>
        <v/>
      </c>
      <c r="F34" t="str">
        <f>IF(A34&lt;&gt;"",'04B Silver Field Treatment'!J35,"")</f>
        <v/>
      </c>
      <c r="G34" t="str">
        <f>IF(A34&lt;&gt;"",'04B Silver Field Treatment'!K35,"")</f>
        <v/>
      </c>
      <c r="H34" t="str">
        <f>IF(A34&lt;&gt;"",'04B Silver Field Treatment'!M35,"")</f>
        <v/>
      </c>
      <c r="I34" t="str">
        <f>IF(A34&lt;&gt;"",'04B Silver Field Treatment'!N35,"")</f>
        <v/>
      </c>
      <c r="J34" t="str">
        <f>IF(A34&lt;&gt;"",'04B Silver Field Treatment'!O35,"")</f>
        <v/>
      </c>
      <c r="K34" t="str">
        <f>IF(A34&lt;&gt;"",'04B Silver Field Treatment'!P35,"")</f>
        <v/>
      </c>
      <c r="L34" t="str">
        <f>IF(A34&lt;&gt;"",'04B Silver Field Treatment'!V35,"")</f>
        <v/>
      </c>
      <c r="M34" t="str">
        <f>IF(A34&lt;&gt;"",IFERROR(_xludf.XLOOKUP(A34,'03 Bronze Intake'!B$6:B$367,'03 Bronze Intake'!G$6:G$367,""),""),"")</f>
        <v/>
      </c>
      <c r="N34" t="str">
        <f>IF(A34&lt;&gt;"",IFERROR(_xludf.XLOOKUP(A34,'03 Bronze Intake'!B$6:B$367,'03 Bronze Intake'!H$6:H$367,""),""),"")</f>
        <v/>
      </c>
      <c r="O34" t="str">
        <f>IF(A34&lt;&gt;"",IFERROR(_xludf.XLOOKUP(A34,'03 Bronze Intake'!B$6:B$367,'03 Bronze Intake'!M$6:M$367,""),""),"")</f>
        <v/>
      </c>
      <c r="P34" t="str">
        <f>IF(A34&lt;&gt;"",IFERROR(_xludf.XLOOKUP(A34,'03 Bronze Intake'!B$6:B$367,'03 Bronze Intake'!N$6:N$367,""),""),"")</f>
        <v/>
      </c>
      <c r="Q34" t="str">
        <f>IF(A34&lt;&gt;"",IFERROR(_xludf.XLOOKUP(A34,'03 Bronze Intake'!B$6:B$367,'03 Bronze Intake'!O$6:O$367,""),""),"")</f>
        <v/>
      </c>
    </row>
    <row r="35" spans="1:17" x14ac:dyDescent="0.25">
      <c r="A35" t="str">
        <f>IF('04B Silver Field Treatment'!A36&lt;&gt;"",'04B Silver Field Treatment'!A36,"")</f>
        <v/>
      </c>
      <c r="B35" t="str">
        <f>IF(A35&lt;&gt;"",'04B Silver Field Treatment'!B36,"")</f>
        <v/>
      </c>
      <c r="C35" t="str">
        <f>IF(A35&lt;&gt;"",'04B Silver Field Treatment'!D36,"")</f>
        <v/>
      </c>
      <c r="D35" t="str">
        <f>IF(A35&lt;&gt;"",'04B Silver Field Treatment'!X36,"")</f>
        <v/>
      </c>
      <c r="E35" t="str">
        <f>IF(A35&lt;&gt;"",'04B Silver Field Treatment'!Y36,"")</f>
        <v/>
      </c>
      <c r="F35" t="str">
        <f>IF(A35&lt;&gt;"",'04B Silver Field Treatment'!J36,"")</f>
        <v/>
      </c>
      <c r="G35" t="str">
        <f>IF(A35&lt;&gt;"",'04B Silver Field Treatment'!K36,"")</f>
        <v/>
      </c>
      <c r="H35" t="str">
        <f>IF(A35&lt;&gt;"",'04B Silver Field Treatment'!M36,"")</f>
        <v/>
      </c>
      <c r="I35" t="str">
        <f>IF(A35&lt;&gt;"",'04B Silver Field Treatment'!N36,"")</f>
        <v/>
      </c>
      <c r="J35" t="str">
        <f>IF(A35&lt;&gt;"",'04B Silver Field Treatment'!O36,"")</f>
        <v/>
      </c>
      <c r="K35" t="str">
        <f>IF(A35&lt;&gt;"",'04B Silver Field Treatment'!P36,"")</f>
        <v/>
      </c>
      <c r="L35" t="str">
        <f>IF(A35&lt;&gt;"",'04B Silver Field Treatment'!V36,"")</f>
        <v/>
      </c>
      <c r="M35" t="str">
        <f>IF(A35&lt;&gt;"",IFERROR(_xludf.XLOOKUP(A35,'03 Bronze Intake'!B$6:B$367,'03 Bronze Intake'!G$6:G$367,""),""),"")</f>
        <v/>
      </c>
      <c r="N35" t="str">
        <f>IF(A35&lt;&gt;"",IFERROR(_xludf.XLOOKUP(A35,'03 Bronze Intake'!B$6:B$367,'03 Bronze Intake'!H$6:H$367,""),""),"")</f>
        <v/>
      </c>
      <c r="O35" t="str">
        <f>IF(A35&lt;&gt;"",IFERROR(_xludf.XLOOKUP(A35,'03 Bronze Intake'!B$6:B$367,'03 Bronze Intake'!M$6:M$367,""),""),"")</f>
        <v/>
      </c>
      <c r="P35" t="str">
        <f>IF(A35&lt;&gt;"",IFERROR(_xludf.XLOOKUP(A35,'03 Bronze Intake'!B$6:B$367,'03 Bronze Intake'!N$6:N$367,""),""),"")</f>
        <v/>
      </c>
      <c r="Q35" t="str">
        <f>IF(A35&lt;&gt;"",IFERROR(_xludf.XLOOKUP(A35,'03 Bronze Intake'!B$6:B$367,'03 Bronze Intake'!O$6:O$367,""),""),"")</f>
        <v/>
      </c>
    </row>
    <row r="36" spans="1:17" x14ac:dyDescent="0.25">
      <c r="A36" t="str">
        <f>IF('04B Silver Field Treatment'!A37&lt;&gt;"",'04B Silver Field Treatment'!A37,"")</f>
        <v/>
      </c>
      <c r="B36" t="str">
        <f>IF(A36&lt;&gt;"",'04B Silver Field Treatment'!B37,"")</f>
        <v/>
      </c>
      <c r="C36" t="str">
        <f>IF(A36&lt;&gt;"",'04B Silver Field Treatment'!D37,"")</f>
        <v/>
      </c>
      <c r="D36" t="str">
        <f>IF(A36&lt;&gt;"",'04B Silver Field Treatment'!X37,"")</f>
        <v/>
      </c>
      <c r="E36" t="str">
        <f>IF(A36&lt;&gt;"",'04B Silver Field Treatment'!Y37,"")</f>
        <v/>
      </c>
      <c r="F36" t="str">
        <f>IF(A36&lt;&gt;"",'04B Silver Field Treatment'!J37,"")</f>
        <v/>
      </c>
      <c r="G36" t="str">
        <f>IF(A36&lt;&gt;"",'04B Silver Field Treatment'!K37,"")</f>
        <v/>
      </c>
      <c r="H36" t="str">
        <f>IF(A36&lt;&gt;"",'04B Silver Field Treatment'!M37,"")</f>
        <v/>
      </c>
      <c r="I36" t="str">
        <f>IF(A36&lt;&gt;"",'04B Silver Field Treatment'!N37,"")</f>
        <v/>
      </c>
      <c r="J36" t="str">
        <f>IF(A36&lt;&gt;"",'04B Silver Field Treatment'!O37,"")</f>
        <v/>
      </c>
      <c r="K36" t="str">
        <f>IF(A36&lt;&gt;"",'04B Silver Field Treatment'!P37,"")</f>
        <v/>
      </c>
      <c r="L36" t="str">
        <f>IF(A36&lt;&gt;"",'04B Silver Field Treatment'!V37,"")</f>
        <v/>
      </c>
      <c r="M36" t="str">
        <f>IF(A36&lt;&gt;"",IFERROR(_xludf.XLOOKUP(A36,'03 Bronze Intake'!B$6:B$367,'03 Bronze Intake'!G$6:G$367,""),""),"")</f>
        <v/>
      </c>
      <c r="N36" t="str">
        <f>IF(A36&lt;&gt;"",IFERROR(_xludf.XLOOKUP(A36,'03 Bronze Intake'!B$6:B$367,'03 Bronze Intake'!H$6:H$367,""),""),"")</f>
        <v/>
      </c>
      <c r="O36" t="str">
        <f>IF(A36&lt;&gt;"",IFERROR(_xludf.XLOOKUP(A36,'03 Bronze Intake'!B$6:B$367,'03 Bronze Intake'!M$6:M$367,""),""),"")</f>
        <v/>
      </c>
      <c r="P36" t="str">
        <f>IF(A36&lt;&gt;"",IFERROR(_xludf.XLOOKUP(A36,'03 Bronze Intake'!B$6:B$367,'03 Bronze Intake'!N$6:N$367,""),""),"")</f>
        <v/>
      </c>
      <c r="Q36" t="str">
        <f>IF(A36&lt;&gt;"",IFERROR(_xludf.XLOOKUP(A36,'03 Bronze Intake'!B$6:B$367,'03 Bronze Intake'!O$6:O$367,""),""),"")</f>
        <v/>
      </c>
    </row>
    <row r="37" spans="1:17" x14ac:dyDescent="0.25">
      <c r="A37" t="str">
        <f>IF('04B Silver Field Treatment'!A38&lt;&gt;"",'04B Silver Field Treatment'!A38,"")</f>
        <v/>
      </c>
      <c r="B37" t="str">
        <f>IF(A37&lt;&gt;"",'04B Silver Field Treatment'!B38,"")</f>
        <v/>
      </c>
      <c r="C37" t="str">
        <f>IF(A37&lt;&gt;"",'04B Silver Field Treatment'!D38,"")</f>
        <v/>
      </c>
      <c r="D37" t="str">
        <f>IF(A37&lt;&gt;"",'04B Silver Field Treatment'!X38,"")</f>
        <v/>
      </c>
      <c r="E37" t="str">
        <f>IF(A37&lt;&gt;"",'04B Silver Field Treatment'!Y38,"")</f>
        <v/>
      </c>
      <c r="F37" t="str">
        <f>IF(A37&lt;&gt;"",'04B Silver Field Treatment'!J38,"")</f>
        <v/>
      </c>
      <c r="G37" t="str">
        <f>IF(A37&lt;&gt;"",'04B Silver Field Treatment'!K38,"")</f>
        <v/>
      </c>
      <c r="H37" t="str">
        <f>IF(A37&lt;&gt;"",'04B Silver Field Treatment'!M38,"")</f>
        <v/>
      </c>
      <c r="I37" t="str">
        <f>IF(A37&lt;&gt;"",'04B Silver Field Treatment'!N38,"")</f>
        <v/>
      </c>
      <c r="J37" t="str">
        <f>IF(A37&lt;&gt;"",'04B Silver Field Treatment'!O38,"")</f>
        <v/>
      </c>
      <c r="K37" t="str">
        <f>IF(A37&lt;&gt;"",'04B Silver Field Treatment'!P38,"")</f>
        <v/>
      </c>
      <c r="L37" t="str">
        <f>IF(A37&lt;&gt;"",'04B Silver Field Treatment'!V38,"")</f>
        <v/>
      </c>
      <c r="M37" t="str">
        <f>IF(A37&lt;&gt;"",IFERROR(_xludf.XLOOKUP(A37,'03 Bronze Intake'!B$6:B$367,'03 Bronze Intake'!G$6:G$367,""),""),"")</f>
        <v/>
      </c>
      <c r="N37" t="str">
        <f>IF(A37&lt;&gt;"",IFERROR(_xludf.XLOOKUP(A37,'03 Bronze Intake'!B$6:B$367,'03 Bronze Intake'!H$6:H$367,""),""),"")</f>
        <v/>
      </c>
      <c r="O37" t="str">
        <f>IF(A37&lt;&gt;"",IFERROR(_xludf.XLOOKUP(A37,'03 Bronze Intake'!B$6:B$367,'03 Bronze Intake'!M$6:M$367,""),""),"")</f>
        <v/>
      </c>
      <c r="P37" t="str">
        <f>IF(A37&lt;&gt;"",IFERROR(_xludf.XLOOKUP(A37,'03 Bronze Intake'!B$6:B$367,'03 Bronze Intake'!N$6:N$367,""),""),"")</f>
        <v/>
      </c>
      <c r="Q37" t="str">
        <f>IF(A37&lt;&gt;"",IFERROR(_xludf.XLOOKUP(A37,'03 Bronze Intake'!B$6:B$367,'03 Bronze Intake'!O$6:O$367,""),""),"")</f>
        <v/>
      </c>
    </row>
    <row r="38" spans="1:17" x14ac:dyDescent="0.25">
      <c r="A38" t="str">
        <f>IF('04B Silver Field Treatment'!A39&lt;&gt;"",'04B Silver Field Treatment'!A39,"")</f>
        <v/>
      </c>
      <c r="B38" t="str">
        <f>IF(A38&lt;&gt;"",'04B Silver Field Treatment'!B39,"")</f>
        <v/>
      </c>
      <c r="C38" t="str">
        <f>IF(A38&lt;&gt;"",'04B Silver Field Treatment'!D39,"")</f>
        <v/>
      </c>
      <c r="D38" t="str">
        <f>IF(A38&lt;&gt;"",'04B Silver Field Treatment'!X39,"")</f>
        <v/>
      </c>
      <c r="E38" t="str">
        <f>IF(A38&lt;&gt;"",'04B Silver Field Treatment'!Y39,"")</f>
        <v/>
      </c>
      <c r="F38" t="str">
        <f>IF(A38&lt;&gt;"",'04B Silver Field Treatment'!J39,"")</f>
        <v/>
      </c>
      <c r="G38" t="str">
        <f>IF(A38&lt;&gt;"",'04B Silver Field Treatment'!K39,"")</f>
        <v/>
      </c>
      <c r="H38" t="str">
        <f>IF(A38&lt;&gt;"",'04B Silver Field Treatment'!M39,"")</f>
        <v/>
      </c>
      <c r="I38" t="str">
        <f>IF(A38&lt;&gt;"",'04B Silver Field Treatment'!N39,"")</f>
        <v/>
      </c>
      <c r="J38" t="str">
        <f>IF(A38&lt;&gt;"",'04B Silver Field Treatment'!O39,"")</f>
        <v/>
      </c>
      <c r="K38" t="str">
        <f>IF(A38&lt;&gt;"",'04B Silver Field Treatment'!P39,"")</f>
        <v/>
      </c>
      <c r="L38" t="str">
        <f>IF(A38&lt;&gt;"",'04B Silver Field Treatment'!V39,"")</f>
        <v/>
      </c>
      <c r="M38" t="str">
        <f>IF(A38&lt;&gt;"",IFERROR(_xludf.XLOOKUP(A38,'03 Bronze Intake'!B$6:B$367,'03 Bronze Intake'!G$6:G$367,""),""),"")</f>
        <v/>
      </c>
      <c r="N38" t="str">
        <f>IF(A38&lt;&gt;"",IFERROR(_xludf.XLOOKUP(A38,'03 Bronze Intake'!B$6:B$367,'03 Bronze Intake'!H$6:H$367,""),""),"")</f>
        <v/>
      </c>
      <c r="O38" t="str">
        <f>IF(A38&lt;&gt;"",IFERROR(_xludf.XLOOKUP(A38,'03 Bronze Intake'!B$6:B$367,'03 Bronze Intake'!M$6:M$367,""),""),"")</f>
        <v/>
      </c>
      <c r="P38" t="str">
        <f>IF(A38&lt;&gt;"",IFERROR(_xludf.XLOOKUP(A38,'03 Bronze Intake'!B$6:B$367,'03 Bronze Intake'!N$6:N$367,""),""),"")</f>
        <v/>
      </c>
      <c r="Q38" t="str">
        <f>IF(A38&lt;&gt;"",IFERROR(_xludf.XLOOKUP(A38,'03 Bronze Intake'!B$6:B$367,'03 Bronze Intake'!O$6:O$367,""),""),"")</f>
        <v/>
      </c>
    </row>
    <row r="39" spans="1:17" x14ac:dyDescent="0.25">
      <c r="A39" t="str">
        <f>IF('04B Silver Field Treatment'!A40&lt;&gt;"",'04B Silver Field Treatment'!A40,"")</f>
        <v/>
      </c>
      <c r="B39" t="str">
        <f>IF(A39&lt;&gt;"",'04B Silver Field Treatment'!B40,"")</f>
        <v/>
      </c>
      <c r="C39" t="str">
        <f>IF(A39&lt;&gt;"",'04B Silver Field Treatment'!D40,"")</f>
        <v/>
      </c>
      <c r="D39" t="str">
        <f>IF(A39&lt;&gt;"",'04B Silver Field Treatment'!X40,"")</f>
        <v/>
      </c>
      <c r="E39" t="str">
        <f>IF(A39&lt;&gt;"",'04B Silver Field Treatment'!Y40,"")</f>
        <v/>
      </c>
      <c r="F39" t="str">
        <f>IF(A39&lt;&gt;"",'04B Silver Field Treatment'!J40,"")</f>
        <v/>
      </c>
      <c r="G39" t="str">
        <f>IF(A39&lt;&gt;"",'04B Silver Field Treatment'!K40,"")</f>
        <v/>
      </c>
      <c r="H39" t="str">
        <f>IF(A39&lt;&gt;"",'04B Silver Field Treatment'!M40,"")</f>
        <v/>
      </c>
      <c r="I39" t="str">
        <f>IF(A39&lt;&gt;"",'04B Silver Field Treatment'!N40,"")</f>
        <v/>
      </c>
      <c r="J39" t="str">
        <f>IF(A39&lt;&gt;"",'04B Silver Field Treatment'!O40,"")</f>
        <v/>
      </c>
      <c r="K39" t="str">
        <f>IF(A39&lt;&gt;"",'04B Silver Field Treatment'!P40,"")</f>
        <v/>
      </c>
      <c r="L39" t="str">
        <f>IF(A39&lt;&gt;"",'04B Silver Field Treatment'!V40,"")</f>
        <v/>
      </c>
      <c r="M39" t="str">
        <f>IF(A39&lt;&gt;"",IFERROR(_xludf.XLOOKUP(A39,'03 Bronze Intake'!B$6:B$367,'03 Bronze Intake'!G$6:G$367,""),""),"")</f>
        <v/>
      </c>
      <c r="N39" t="str">
        <f>IF(A39&lt;&gt;"",IFERROR(_xludf.XLOOKUP(A39,'03 Bronze Intake'!B$6:B$367,'03 Bronze Intake'!H$6:H$367,""),""),"")</f>
        <v/>
      </c>
      <c r="O39" t="str">
        <f>IF(A39&lt;&gt;"",IFERROR(_xludf.XLOOKUP(A39,'03 Bronze Intake'!B$6:B$367,'03 Bronze Intake'!M$6:M$367,""),""),"")</f>
        <v/>
      </c>
      <c r="P39" t="str">
        <f>IF(A39&lt;&gt;"",IFERROR(_xludf.XLOOKUP(A39,'03 Bronze Intake'!B$6:B$367,'03 Bronze Intake'!N$6:N$367,""),""),"")</f>
        <v/>
      </c>
      <c r="Q39" t="str">
        <f>IF(A39&lt;&gt;"",IFERROR(_xludf.XLOOKUP(A39,'03 Bronze Intake'!B$6:B$367,'03 Bronze Intake'!O$6:O$367,""),""),"")</f>
        <v/>
      </c>
    </row>
    <row r="40" spans="1:17" x14ac:dyDescent="0.25">
      <c r="A40" t="str">
        <f>IF('04B Silver Field Treatment'!A41&lt;&gt;"",'04B Silver Field Treatment'!A41,"")</f>
        <v/>
      </c>
      <c r="B40" t="str">
        <f>IF(A40&lt;&gt;"",'04B Silver Field Treatment'!B41,"")</f>
        <v/>
      </c>
      <c r="C40" t="str">
        <f>IF(A40&lt;&gt;"",'04B Silver Field Treatment'!D41,"")</f>
        <v/>
      </c>
      <c r="D40" t="str">
        <f>IF(A40&lt;&gt;"",'04B Silver Field Treatment'!X41,"")</f>
        <v/>
      </c>
      <c r="E40" t="str">
        <f>IF(A40&lt;&gt;"",'04B Silver Field Treatment'!Y41,"")</f>
        <v/>
      </c>
      <c r="F40" t="str">
        <f>IF(A40&lt;&gt;"",'04B Silver Field Treatment'!J41,"")</f>
        <v/>
      </c>
      <c r="G40" t="str">
        <f>IF(A40&lt;&gt;"",'04B Silver Field Treatment'!K41,"")</f>
        <v/>
      </c>
      <c r="H40" t="str">
        <f>IF(A40&lt;&gt;"",'04B Silver Field Treatment'!M41,"")</f>
        <v/>
      </c>
      <c r="I40" t="str">
        <f>IF(A40&lt;&gt;"",'04B Silver Field Treatment'!N41,"")</f>
        <v/>
      </c>
      <c r="J40" t="str">
        <f>IF(A40&lt;&gt;"",'04B Silver Field Treatment'!O41,"")</f>
        <v/>
      </c>
      <c r="K40" t="str">
        <f>IF(A40&lt;&gt;"",'04B Silver Field Treatment'!P41,"")</f>
        <v/>
      </c>
      <c r="L40" t="str">
        <f>IF(A40&lt;&gt;"",'04B Silver Field Treatment'!V41,"")</f>
        <v/>
      </c>
      <c r="M40" t="str">
        <f>IF(A40&lt;&gt;"",IFERROR(_xludf.XLOOKUP(A40,'03 Bronze Intake'!B$6:B$367,'03 Bronze Intake'!G$6:G$367,""),""),"")</f>
        <v/>
      </c>
      <c r="N40" t="str">
        <f>IF(A40&lt;&gt;"",IFERROR(_xludf.XLOOKUP(A40,'03 Bronze Intake'!B$6:B$367,'03 Bronze Intake'!H$6:H$367,""),""),"")</f>
        <v/>
      </c>
      <c r="O40" t="str">
        <f>IF(A40&lt;&gt;"",IFERROR(_xludf.XLOOKUP(A40,'03 Bronze Intake'!B$6:B$367,'03 Bronze Intake'!M$6:M$367,""),""),"")</f>
        <v/>
      </c>
      <c r="P40" t="str">
        <f>IF(A40&lt;&gt;"",IFERROR(_xludf.XLOOKUP(A40,'03 Bronze Intake'!B$6:B$367,'03 Bronze Intake'!N$6:N$367,""),""),"")</f>
        <v/>
      </c>
      <c r="Q40" t="str">
        <f>IF(A40&lt;&gt;"",IFERROR(_xludf.XLOOKUP(A40,'03 Bronze Intake'!B$6:B$367,'03 Bronze Intake'!O$6:O$367,""),""),"")</f>
        <v/>
      </c>
    </row>
    <row r="41" spans="1:17" x14ac:dyDescent="0.25">
      <c r="A41" t="str">
        <f>IF('04B Silver Field Treatment'!A42&lt;&gt;"",'04B Silver Field Treatment'!A42,"")</f>
        <v/>
      </c>
      <c r="B41" t="str">
        <f>IF(A41&lt;&gt;"",'04B Silver Field Treatment'!B42,"")</f>
        <v/>
      </c>
      <c r="C41" t="str">
        <f>IF(A41&lt;&gt;"",'04B Silver Field Treatment'!D42,"")</f>
        <v/>
      </c>
      <c r="D41" t="str">
        <f>IF(A41&lt;&gt;"",'04B Silver Field Treatment'!X42,"")</f>
        <v/>
      </c>
      <c r="E41" t="str">
        <f>IF(A41&lt;&gt;"",'04B Silver Field Treatment'!Y42,"")</f>
        <v/>
      </c>
      <c r="F41" t="str">
        <f>IF(A41&lt;&gt;"",'04B Silver Field Treatment'!J42,"")</f>
        <v/>
      </c>
      <c r="G41" t="str">
        <f>IF(A41&lt;&gt;"",'04B Silver Field Treatment'!K42,"")</f>
        <v/>
      </c>
      <c r="H41" t="str">
        <f>IF(A41&lt;&gt;"",'04B Silver Field Treatment'!M42,"")</f>
        <v/>
      </c>
      <c r="I41" t="str">
        <f>IF(A41&lt;&gt;"",'04B Silver Field Treatment'!N42,"")</f>
        <v/>
      </c>
      <c r="J41" t="str">
        <f>IF(A41&lt;&gt;"",'04B Silver Field Treatment'!O42,"")</f>
        <v/>
      </c>
      <c r="K41" t="str">
        <f>IF(A41&lt;&gt;"",'04B Silver Field Treatment'!P42,"")</f>
        <v/>
      </c>
      <c r="L41" t="str">
        <f>IF(A41&lt;&gt;"",'04B Silver Field Treatment'!V42,"")</f>
        <v/>
      </c>
      <c r="M41" t="str">
        <f>IF(A41&lt;&gt;"",IFERROR(_xludf.XLOOKUP(A41,'03 Bronze Intake'!B$6:B$367,'03 Bronze Intake'!G$6:G$367,""),""),"")</f>
        <v/>
      </c>
      <c r="N41" t="str">
        <f>IF(A41&lt;&gt;"",IFERROR(_xludf.XLOOKUP(A41,'03 Bronze Intake'!B$6:B$367,'03 Bronze Intake'!H$6:H$367,""),""),"")</f>
        <v/>
      </c>
      <c r="O41" t="str">
        <f>IF(A41&lt;&gt;"",IFERROR(_xludf.XLOOKUP(A41,'03 Bronze Intake'!B$6:B$367,'03 Bronze Intake'!M$6:M$367,""),""),"")</f>
        <v/>
      </c>
      <c r="P41" t="str">
        <f>IF(A41&lt;&gt;"",IFERROR(_xludf.XLOOKUP(A41,'03 Bronze Intake'!B$6:B$367,'03 Bronze Intake'!N$6:N$367,""),""),"")</f>
        <v/>
      </c>
      <c r="Q41" t="str">
        <f>IF(A41&lt;&gt;"",IFERROR(_xludf.XLOOKUP(A41,'03 Bronze Intake'!B$6:B$367,'03 Bronze Intake'!O$6:O$367,""),""),"")</f>
        <v/>
      </c>
    </row>
    <row r="42" spans="1:17" x14ac:dyDescent="0.25">
      <c r="A42" t="str">
        <f>IF('04B Silver Field Treatment'!A43&lt;&gt;"",'04B Silver Field Treatment'!A43,"")</f>
        <v/>
      </c>
      <c r="B42" t="str">
        <f>IF(A42&lt;&gt;"",'04B Silver Field Treatment'!B43,"")</f>
        <v/>
      </c>
      <c r="C42" t="str">
        <f>IF(A42&lt;&gt;"",'04B Silver Field Treatment'!D43,"")</f>
        <v/>
      </c>
      <c r="D42" t="str">
        <f>IF(A42&lt;&gt;"",'04B Silver Field Treatment'!X43,"")</f>
        <v/>
      </c>
      <c r="E42" t="str">
        <f>IF(A42&lt;&gt;"",'04B Silver Field Treatment'!Y43,"")</f>
        <v/>
      </c>
      <c r="F42" t="str">
        <f>IF(A42&lt;&gt;"",'04B Silver Field Treatment'!J43,"")</f>
        <v/>
      </c>
      <c r="G42" t="str">
        <f>IF(A42&lt;&gt;"",'04B Silver Field Treatment'!K43,"")</f>
        <v/>
      </c>
      <c r="H42" t="str">
        <f>IF(A42&lt;&gt;"",'04B Silver Field Treatment'!M43,"")</f>
        <v/>
      </c>
      <c r="I42" t="str">
        <f>IF(A42&lt;&gt;"",'04B Silver Field Treatment'!N43,"")</f>
        <v/>
      </c>
      <c r="J42" t="str">
        <f>IF(A42&lt;&gt;"",'04B Silver Field Treatment'!O43,"")</f>
        <v/>
      </c>
      <c r="K42" t="str">
        <f>IF(A42&lt;&gt;"",'04B Silver Field Treatment'!P43,"")</f>
        <v/>
      </c>
      <c r="L42" t="str">
        <f>IF(A42&lt;&gt;"",'04B Silver Field Treatment'!V43,"")</f>
        <v/>
      </c>
      <c r="M42" t="str">
        <f>IF(A42&lt;&gt;"",IFERROR(_xludf.XLOOKUP(A42,'03 Bronze Intake'!B$6:B$367,'03 Bronze Intake'!G$6:G$367,""),""),"")</f>
        <v/>
      </c>
      <c r="N42" t="str">
        <f>IF(A42&lt;&gt;"",IFERROR(_xludf.XLOOKUP(A42,'03 Bronze Intake'!B$6:B$367,'03 Bronze Intake'!H$6:H$367,""),""),"")</f>
        <v/>
      </c>
      <c r="O42" t="str">
        <f>IF(A42&lt;&gt;"",IFERROR(_xludf.XLOOKUP(A42,'03 Bronze Intake'!B$6:B$367,'03 Bronze Intake'!M$6:M$367,""),""),"")</f>
        <v/>
      </c>
      <c r="P42" t="str">
        <f>IF(A42&lt;&gt;"",IFERROR(_xludf.XLOOKUP(A42,'03 Bronze Intake'!B$6:B$367,'03 Bronze Intake'!N$6:N$367,""),""),"")</f>
        <v/>
      </c>
      <c r="Q42" t="str">
        <f>IF(A42&lt;&gt;"",IFERROR(_xludf.XLOOKUP(A42,'03 Bronze Intake'!B$6:B$367,'03 Bronze Intake'!O$6:O$367,""),""),"")</f>
        <v/>
      </c>
    </row>
    <row r="43" spans="1:17" x14ac:dyDescent="0.25">
      <c r="A43" t="str">
        <f>IF('04B Silver Field Treatment'!A44&lt;&gt;"",'04B Silver Field Treatment'!A44,"")</f>
        <v/>
      </c>
      <c r="B43" t="str">
        <f>IF(A43&lt;&gt;"",'04B Silver Field Treatment'!B44,"")</f>
        <v/>
      </c>
      <c r="C43" t="str">
        <f>IF(A43&lt;&gt;"",'04B Silver Field Treatment'!D44,"")</f>
        <v/>
      </c>
      <c r="D43" t="str">
        <f>IF(A43&lt;&gt;"",'04B Silver Field Treatment'!X44,"")</f>
        <v/>
      </c>
      <c r="E43" t="str">
        <f>IF(A43&lt;&gt;"",'04B Silver Field Treatment'!Y44,"")</f>
        <v/>
      </c>
      <c r="F43" t="str">
        <f>IF(A43&lt;&gt;"",'04B Silver Field Treatment'!J44,"")</f>
        <v/>
      </c>
      <c r="G43" t="str">
        <f>IF(A43&lt;&gt;"",'04B Silver Field Treatment'!K44,"")</f>
        <v/>
      </c>
      <c r="H43" t="str">
        <f>IF(A43&lt;&gt;"",'04B Silver Field Treatment'!M44,"")</f>
        <v/>
      </c>
      <c r="I43" t="str">
        <f>IF(A43&lt;&gt;"",'04B Silver Field Treatment'!N44,"")</f>
        <v/>
      </c>
      <c r="J43" t="str">
        <f>IF(A43&lt;&gt;"",'04B Silver Field Treatment'!O44,"")</f>
        <v/>
      </c>
      <c r="K43" t="str">
        <f>IF(A43&lt;&gt;"",'04B Silver Field Treatment'!P44,"")</f>
        <v/>
      </c>
      <c r="L43" t="str">
        <f>IF(A43&lt;&gt;"",'04B Silver Field Treatment'!V44,"")</f>
        <v/>
      </c>
      <c r="M43" t="str">
        <f>IF(A43&lt;&gt;"",IFERROR(_xludf.XLOOKUP(A43,'03 Bronze Intake'!B$6:B$367,'03 Bronze Intake'!G$6:G$367,""),""),"")</f>
        <v/>
      </c>
      <c r="N43" t="str">
        <f>IF(A43&lt;&gt;"",IFERROR(_xludf.XLOOKUP(A43,'03 Bronze Intake'!B$6:B$367,'03 Bronze Intake'!H$6:H$367,""),""),"")</f>
        <v/>
      </c>
      <c r="O43" t="str">
        <f>IF(A43&lt;&gt;"",IFERROR(_xludf.XLOOKUP(A43,'03 Bronze Intake'!B$6:B$367,'03 Bronze Intake'!M$6:M$367,""),""),"")</f>
        <v/>
      </c>
      <c r="P43" t="str">
        <f>IF(A43&lt;&gt;"",IFERROR(_xludf.XLOOKUP(A43,'03 Bronze Intake'!B$6:B$367,'03 Bronze Intake'!N$6:N$367,""),""),"")</f>
        <v/>
      </c>
      <c r="Q43" t="str">
        <f>IF(A43&lt;&gt;"",IFERROR(_xludf.XLOOKUP(A43,'03 Bronze Intake'!B$6:B$367,'03 Bronze Intake'!O$6:O$367,""),""),"")</f>
        <v/>
      </c>
    </row>
    <row r="44" spans="1:17" x14ac:dyDescent="0.25">
      <c r="A44" t="str">
        <f>IF('04B Silver Field Treatment'!A45&lt;&gt;"",'04B Silver Field Treatment'!A45,"")</f>
        <v/>
      </c>
      <c r="B44" t="str">
        <f>IF(A44&lt;&gt;"",'04B Silver Field Treatment'!B45,"")</f>
        <v/>
      </c>
      <c r="C44" t="str">
        <f>IF(A44&lt;&gt;"",'04B Silver Field Treatment'!D45,"")</f>
        <v/>
      </c>
      <c r="D44" t="str">
        <f>IF(A44&lt;&gt;"",'04B Silver Field Treatment'!X45,"")</f>
        <v/>
      </c>
      <c r="E44" t="str">
        <f>IF(A44&lt;&gt;"",'04B Silver Field Treatment'!Y45,"")</f>
        <v/>
      </c>
      <c r="F44" t="str">
        <f>IF(A44&lt;&gt;"",'04B Silver Field Treatment'!J45,"")</f>
        <v/>
      </c>
      <c r="G44" t="str">
        <f>IF(A44&lt;&gt;"",'04B Silver Field Treatment'!K45,"")</f>
        <v/>
      </c>
      <c r="H44" t="str">
        <f>IF(A44&lt;&gt;"",'04B Silver Field Treatment'!M45,"")</f>
        <v/>
      </c>
      <c r="I44" t="str">
        <f>IF(A44&lt;&gt;"",'04B Silver Field Treatment'!N45,"")</f>
        <v/>
      </c>
      <c r="J44" t="str">
        <f>IF(A44&lt;&gt;"",'04B Silver Field Treatment'!O45,"")</f>
        <v/>
      </c>
      <c r="K44" t="str">
        <f>IF(A44&lt;&gt;"",'04B Silver Field Treatment'!P45,"")</f>
        <v/>
      </c>
      <c r="L44" t="str">
        <f>IF(A44&lt;&gt;"",'04B Silver Field Treatment'!V45,"")</f>
        <v/>
      </c>
      <c r="M44" t="str">
        <f>IF(A44&lt;&gt;"",IFERROR(_xludf.XLOOKUP(A44,'03 Bronze Intake'!B$6:B$367,'03 Bronze Intake'!G$6:G$367,""),""),"")</f>
        <v/>
      </c>
      <c r="N44" t="str">
        <f>IF(A44&lt;&gt;"",IFERROR(_xludf.XLOOKUP(A44,'03 Bronze Intake'!B$6:B$367,'03 Bronze Intake'!H$6:H$367,""),""),"")</f>
        <v/>
      </c>
      <c r="O44" t="str">
        <f>IF(A44&lt;&gt;"",IFERROR(_xludf.XLOOKUP(A44,'03 Bronze Intake'!B$6:B$367,'03 Bronze Intake'!M$6:M$367,""),""),"")</f>
        <v/>
      </c>
      <c r="P44" t="str">
        <f>IF(A44&lt;&gt;"",IFERROR(_xludf.XLOOKUP(A44,'03 Bronze Intake'!B$6:B$367,'03 Bronze Intake'!N$6:N$367,""),""),"")</f>
        <v/>
      </c>
      <c r="Q44" t="str">
        <f>IF(A44&lt;&gt;"",IFERROR(_xludf.XLOOKUP(A44,'03 Bronze Intake'!B$6:B$367,'03 Bronze Intake'!O$6:O$367,""),""),"")</f>
        <v/>
      </c>
    </row>
    <row r="45" spans="1:17" x14ac:dyDescent="0.25">
      <c r="A45" t="str">
        <f>IF('04B Silver Field Treatment'!A46&lt;&gt;"",'04B Silver Field Treatment'!A46,"")</f>
        <v/>
      </c>
      <c r="B45" t="str">
        <f>IF(A45&lt;&gt;"",'04B Silver Field Treatment'!B46,"")</f>
        <v/>
      </c>
      <c r="C45" t="str">
        <f>IF(A45&lt;&gt;"",'04B Silver Field Treatment'!D46,"")</f>
        <v/>
      </c>
      <c r="D45" t="str">
        <f>IF(A45&lt;&gt;"",'04B Silver Field Treatment'!X46,"")</f>
        <v/>
      </c>
      <c r="E45" t="str">
        <f>IF(A45&lt;&gt;"",'04B Silver Field Treatment'!Y46,"")</f>
        <v/>
      </c>
      <c r="F45" t="str">
        <f>IF(A45&lt;&gt;"",'04B Silver Field Treatment'!J46,"")</f>
        <v/>
      </c>
      <c r="G45" t="str">
        <f>IF(A45&lt;&gt;"",'04B Silver Field Treatment'!K46,"")</f>
        <v/>
      </c>
      <c r="H45" t="str">
        <f>IF(A45&lt;&gt;"",'04B Silver Field Treatment'!M46,"")</f>
        <v/>
      </c>
      <c r="I45" t="str">
        <f>IF(A45&lt;&gt;"",'04B Silver Field Treatment'!N46,"")</f>
        <v/>
      </c>
      <c r="J45" t="str">
        <f>IF(A45&lt;&gt;"",'04B Silver Field Treatment'!O46,"")</f>
        <v/>
      </c>
      <c r="K45" t="str">
        <f>IF(A45&lt;&gt;"",'04B Silver Field Treatment'!P46,"")</f>
        <v/>
      </c>
      <c r="L45" t="str">
        <f>IF(A45&lt;&gt;"",'04B Silver Field Treatment'!V46,"")</f>
        <v/>
      </c>
      <c r="M45" t="str">
        <f>IF(A45&lt;&gt;"",IFERROR(_xludf.XLOOKUP(A45,'03 Bronze Intake'!B$6:B$367,'03 Bronze Intake'!G$6:G$367,""),""),"")</f>
        <v/>
      </c>
      <c r="N45" t="str">
        <f>IF(A45&lt;&gt;"",IFERROR(_xludf.XLOOKUP(A45,'03 Bronze Intake'!B$6:B$367,'03 Bronze Intake'!H$6:H$367,""),""),"")</f>
        <v/>
      </c>
      <c r="O45" t="str">
        <f>IF(A45&lt;&gt;"",IFERROR(_xludf.XLOOKUP(A45,'03 Bronze Intake'!B$6:B$367,'03 Bronze Intake'!M$6:M$367,""),""),"")</f>
        <v/>
      </c>
      <c r="P45" t="str">
        <f>IF(A45&lt;&gt;"",IFERROR(_xludf.XLOOKUP(A45,'03 Bronze Intake'!B$6:B$367,'03 Bronze Intake'!N$6:N$367,""),""),"")</f>
        <v/>
      </c>
      <c r="Q45" t="str">
        <f>IF(A45&lt;&gt;"",IFERROR(_xludf.XLOOKUP(A45,'03 Bronze Intake'!B$6:B$367,'03 Bronze Intake'!O$6:O$367,""),""),"")</f>
        <v/>
      </c>
    </row>
    <row r="46" spans="1:17" x14ac:dyDescent="0.25">
      <c r="A46" t="str">
        <f>IF('04B Silver Field Treatment'!A47&lt;&gt;"",'04B Silver Field Treatment'!A47,"")</f>
        <v/>
      </c>
      <c r="B46" t="str">
        <f>IF(A46&lt;&gt;"",'04B Silver Field Treatment'!B47,"")</f>
        <v/>
      </c>
      <c r="C46" t="str">
        <f>IF(A46&lt;&gt;"",'04B Silver Field Treatment'!D47,"")</f>
        <v/>
      </c>
      <c r="D46" t="str">
        <f>IF(A46&lt;&gt;"",'04B Silver Field Treatment'!X47,"")</f>
        <v/>
      </c>
      <c r="E46" t="str">
        <f>IF(A46&lt;&gt;"",'04B Silver Field Treatment'!Y47,"")</f>
        <v/>
      </c>
      <c r="F46" t="str">
        <f>IF(A46&lt;&gt;"",'04B Silver Field Treatment'!J47,"")</f>
        <v/>
      </c>
      <c r="G46" t="str">
        <f>IF(A46&lt;&gt;"",'04B Silver Field Treatment'!K47,"")</f>
        <v/>
      </c>
      <c r="H46" t="str">
        <f>IF(A46&lt;&gt;"",'04B Silver Field Treatment'!M47,"")</f>
        <v/>
      </c>
      <c r="I46" t="str">
        <f>IF(A46&lt;&gt;"",'04B Silver Field Treatment'!N47,"")</f>
        <v/>
      </c>
      <c r="J46" t="str">
        <f>IF(A46&lt;&gt;"",'04B Silver Field Treatment'!O47,"")</f>
        <v/>
      </c>
      <c r="K46" t="str">
        <f>IF(A46&lt;&gt;"",'04B Silver Field Treatment'!P47,"")</f>
        <v/>
      </c>
      <c r="L46" t="str">
        <f>IF(A46&lt;&gt;"",'04B Silver Field Treatment'!V47,"")</f>
        <v/>
      </c>
      <c r="M46" t="str">
        <f>IF(A46&lt;&gt;"",IFERROR(_xludf.XLOOKUP(A46,'03 Bronze Intake'!B$6:B$367,'03 Bronze Intake'!G$6:G$367,""),""),"")</f>
        <v/>
      </c>
      <c r="N46" t="str">
        <f>IF(A46&lt;&gt;"",IFERROR(_xludf.XLOOKUP(A46,'03 Bronze Intake'!B$6:B$367,'03 Bronze Intake'!H$6:H$367,""),""),"")</f>
        <v/>
      </c>
      <c r="O46" t="str">
        <f>IF(A46&lt;&gt;"",IFERROR(_xludf.XLOOKUP(A46,'03 Bronze Intake'!B$6:B$367,'03 Bronze Intake'!M$6:M$367,""),""),"")</f>
        <v/>
      </c>
      <c r="P46" t="str">
        <f>IF(A46&lt;&gt;"",IFERROR(_xludf.XLOOKUP(A46,'03 Bronze Intake'!B$6:B$367,'03 Bronze Intake'!N$6:N$367,""),""),"")</f>
        <v/>
      </c>
      <c r="Q46" t="str">
        <f>IF(A46&lt;&gt;"",IFERROR(_xludf.XLOOKUP(A46,'03 Bronze Intake'!B$6:B$367,'03 Bronze Intake'!O$6:O$367,""),""),"")</f>
        <v/>
      </c>
    </row>
    <row r="47" spans="1:17" x14ac:dyDescent="0.25">
      <c r="A47" t="str">
        <f>IF('04B Silver Field Treatment'!A48&lt;&gt;"",'04B Silver Field Treatment'!A48,"")</f>
        <v/>
      </c>
      <c r="B47" t="str">
        <f>IF(A47&lt;&gt;"",'04B Silver Field Treatment'!B48,"")</f>
        <v/>
      </c>
      <c r="C47" t="str">
        <f>IF(A47&lt;&gt;"",'04B Silver Field Treatment'!D48,"")</f>
        <v/>
      </c>
      <c r="D47" t="str">
        <f>IF(A47&lt;&gt;"",'04B Silver Field Treatment'!X48,"")</f>
        <v/>
      </c>
      <c r="E47" t="str">
        <f>IF(A47&lt;&gt;"",'04B Silver Field Treatment'!Y48,"")</f>
        <v/>
      </c>
      <c r="F47" t="str">
        <f>IF(A47&lt;&gt;"",'04B Silver Field Treatment'!J48,"")</f>
        <v/>
      </c>
      <c r="G47" t="str">
        <f>IF(A47&lt;&gt;"",'04B Silver Field Treatment'!K48,"")</f>
        <v/>
      </c>
      <c r="H47" t="str">
        <f>IF(A47&lt;&gt;"",'04B Silver Field Treatment'!M48,"")</f>
        <v/>
      </c>
      <c r="I47" t="str">
        <f>IF(A47&lt;&gt;"",'04B Silver Field Treatment'!N48,"")</f>
        <v/>
      </c>
      <c r="J47" t="str">
        <f>IF(A47&lt;&gt;"",'04B Silver Field Treatment'!O48,"")</f>
        <v/>
      </c>
      <c r="K47" t="str">
        <f>IF(A47&lt;&gt;"",'04B Silver Field Treatment'!P48,"")</f>
        <v/>
      </c>
      <c r="L47" t="str">
        <f>IF(A47&lt;&gt;"",'04B Silver Field Treatment'!V48,"")</f>
        <v/>
      </c>
      <c r="M47" t="str">
        <f>IF(A47&lt;&gt;"",IFERROR(_xludf.XLOOKUP(A47,'03 Bronze Intake'!B$6:B$367,'03 Bronze Intake'!G$6:G$367,""),""),"")</f>
        <v/>
      </c>
      <c r="N47" t="str">
        <f>IF(A47&lt;&gt;"",IFERROR(_xludf.XLOOKUP(A47,'03 Bronze Intake'!B$6:B$367,'03 Bronze Intake'!H$6:H$367,""),""),"")</f>
        <v/>
      </c>
      <c r="O47" t="str">
        <f>IF(A47&lt;&gt;"",IFERROR(_xludf.XLOOKUP(A47,'03 Bronze Intake'!B$6:B$367,'03 Bronze Intake'!M$6:M$367,""),""),"")</f>
        <v/>
      </c>
      <c r="P47" t="str">
        <f>IF(A47&lt;&gt;"",IFERROR(_xludf.XLOOKUP(A47,'03 Bronze Intake'!B$6:B$367,'03 Bronze Intake'!N$6:N$367,""),""),"")</f>
        <v/>
      </c>
      <c r="Q47" t="str">
        <f>IF(A47&lt;&gt;"",IFERROR(_xludf.XLOOKUP(A47,'03 Bronze Intake'!B$6:B$367,'03 Bronze Intake'!O$6:O$367,""),""),"")</f>
        <v/>
      </c>
    </row>
    <row r="48" spans="1:17" x14ac:dyDescent="0.25">
      <c r="A48" t="str">
        <f>IF('04B Silver Field Treatment'!A49&lt;&gt;"",'04B Silver Field Treatment'!A49,"")</f>
        <v/>
      </c>
      <c r="B48" t="str">
        <f>IF(A48&lt;&gt;"",'04B Silver Field Treatment'!B49,"")</f>
        <v/>
      </c>
      <c r="C48" t="str">
        <f>IF(A48&lt;&gt;"",'04B Silver Field Treatment'!D49,"")</f>
        <v/>
      </c>
      <c r="D48" t="str">
        <f>IF(A48&lt;&gt;"",'04B Silver Field Treatment'!X49,"")</f>
        <v/>
      </c>
      <c r="E48" t="str">
        <f>IF(A48&lt;&gt;"",'04B Silver Field Treatment'!Y49,"")</f>
        <v/>
      </c>
      <c r="F48" t="str">
        <f>IF(A48&lt;&gt;"",'04B Silver Field Treatment'!J49,"")</f>
        <v/>
      </c>
      <c r="G48" t="str">
        <f>IF(A48&lt;&gt;"",'04B Silver Field Treatment'!K49,"")</f>
        <v/>
      </c>
      <c r="H48" t="str">
        <f>IF(A48&lt;&gt;"",'04B Silver Field Treatment'!M49,"")</f>
        <v/>
      </c>
      <c r="I48" t="str">
        <f>IF(A48&lt;&gt;"",'04B Silver Field Treatment'!N49,"")</f>
        <v/>
      </c>
      <c r="J48" t="str">
        <f>IF(A48&lt;&gt;"",'04B Silver Field Treatment'!O49,"")</f>
        <v/>
      </c>
      <c r="K48" t="str">
        <f>IF(A48&lt;&gt;"",'04B Silver Field Treatment'!P49,"")</f>
        <v/>
      </c>
      <c r="L48" t="str">
        <f>IF(A48&lt;&gt;"",'04B Silver Field Treatment'!V49,"")</f>
        <v/>
      </c>
      <c r="M48" t="str">
        <f>IF(A48&lt;&gt;"",IFERROR(_xludf.XLOOKUP(A48,'03 Bronze Intake'!B$6:B$367,'03 Bronze Intake'!G$6:G$367,""),""),"")</f>
        <v/>
      </c>
      <c r="N48" t="str">
        <f>IF(A48&lt;&gt;"",IFERROR(_xludf.XLOOKUP(A48,'03 Bronze Intake'!B$6:B$367,'03 Bronze Intake'!H$6:H$367,""),""),"")</f>
        <v/>
      </c>
      <c r="O48" t="str">
        <f>IF(A48&lt;&gt;"",IFERROR(_xludf.XLOOKUP(A48,'03 Bronze Intake'!B$6:B$367,'03 Bronze Intake'!M$6:M$367,""),""),"")</f>
        <v/>
      </c>
      <c r="P48" t="str">
        <f>IF(A48&lt;&gt;"",IFERROR(_xludf.XLOOKUP(A48,'03 Bronze Intake'!B$6:B$367,'03 Bronze Intake'!N$6:N$367,""),""),"")</f>
        <v/>
      </c>
      <c r="Q48" t="str">
        <f>IF(A48&lt;&gt;"",IFERROR(_xludf.XLOOKUP(A48,'03 Bronze Intake'!B$6:B$367,'03 Bronze Intake'!O$6:O$367,""),""),"")</f>
        <v/>
      </c>
    </row>
    <row r="49" spans="1:17" x14ac:dyDescent="0.25">
      <c r="A49" t="str">
        <f>IF('04B Silver Field Treatment'!A50&lt;&gt;"",'04B Silver Field Treatment'!A50,"")</f>
        <v/>
      </c>
      <c r="B49" t="str">
        <f>IF(A49&lt;&gt;"",'04B Silver Field Treatment'!B50,"")</f>
        <v/>
      </c>
      <c r="C49" t="str">
        <f>IF(A49&lt;&gt;"",'04B Silver Field Treatment'!D50,"")</f>
        <v/>
      </c>
      <c r="D49" t="str">
        <f>IF(A49&lt;&gt;"",'04B Silver Field Treatment'!X50,"")</f>
        <v/>
      </c>
      <c r="E49" t="str">
        <f>IF(A49&lt;&gt;"",'04B Silver Field Treatment'!Y50,"")</f>
        <v/>
      </c>
      <c r="F49" t="str">
        <f>IF(A49&lt;&gt;"",'04B Silver Field Treatment'!J50,"")</f>
        <v/>
      </c>
      <c r="G49" t="str">
        <f>IF(A49&lt;&gt;"",'04B Silver Field Treatment'!K50,"")</f>
        <v/>
      </c>
      <c r="H49" t="str">
        <f>IF(A49&lt;&gt;"",'04B Silver Field Treatment'!M50,"")</f>
        <v/>
      </c>
      <c r="I49" t="str">
        <f>IF(A49&lt;&gt;"",'04B Silver Field Treatment'!N50,"")</f>
        <v/>
      </c>
      <c r="J49" t="str">
        <f>IF(A49&lt;&gt;"",'04B Silver Field Treatment'!O50,"")</f>
        <v/>
      </c>
      <c r="K49" t="str">
        <f>IF(A49&lt;&gt;"",'04B Silver Field Treatment'!P50,"")</f>
        <v/>
      </c>
      <c r="L49" t="str">
        <f>IF(A49&lt;&gt;"",'04B Silver Field Treatment'!V50,"")</f>
        <v/>
      </c>
      <c r="M49" t="str">
        <f>IF(A49&lt;&gt;"",IFERROR(_xludf.XLOOKUP(A49,'03 Bronze Intake'!B$6:B$367,'03 Bronze Intake'!G$6:G$367,""),""),"")</f>
        <v/>
      </c>
      <c r="N49" t="str">
        <f>IF(A49&lt;&gt;"",IFERROR(_xludf.XLOOKUP(A49,'03 Bronze Intake'!B$6:B$367,'03 Bronze Intake'!H$6:H$367,""),""),"")</f>
        <v/>
      </c>
      <c r="O49" t="str">
        <f>IF(A49&lt;&gt;"",IFERROR(_xludf.XLOOKUP(A49,'03 Bronze Intake'!B$6:B$367,'03 Bronze Intake'!M$6:M$367,""),""),"")</f>
        <v/>
      </c>
      <c r="P49" t="str">
        <f>IF(A49&lt;&gt;"",IFERROR(_xludf.XLOOKUP(A49,'03 Bronze Intake'!B$6:B$367,'03 Bronze Intake'!N$6:N$367,""),""),"")</f>
        <v/>
      </c>
      <c r="Q49" t="str">
        <f>IF(A49&lt;&gt;"",IFERROR(_xludf.XLOOKUP(A49,'03 Bronze Intake'!B$6:B$367,'03 Bronze Intake'!O$6:O$367,""),""),"")</f>
        <v/>
      </c>
    </row>
    <row r="50" spans="1:17" x14ac:dyDescent="0.25">
      <c r="A50" t="str">
        <f>IF('04B Silver Field Treatment'!A51&lt;&gt;"",'04B Silver Field Treatment'!A51,"")</f>
        <v/>
      </c>
      <c r="B50" t="str">
        <f>IF(A50&lt;&gt;"",'04B Silver Field Treatment'!B51,"")</f>
        <v/>
      </c>
      <c r="C50" t="str">
        <f>IF(A50&lt;&gt;"",'04B Silver Field Treatment'!D51,"")</f>
        <v/>
      </c>
      <c r="D50" t="str">
        <f>IF(A50&lt;&gt;"",'04B Silver Field Treatment'!X51,"")</f>
        <v/>
      </c>
      <c r="E50" t="str">
        <f>IF(A50&lt;&gt;"",'04B Silver Field Treatment'!Y51,"")</f>
        <v/>
      </c>
      <c r="F50" t="str">
        <f>IF(A50&lt;&gt;"",'04B Silver Field Treatment'!J51,"")</f>
        <v/>
      </c>
      <c r="G50" t="str">
        <f>IF(A50&lt;&gt;"",'04B Silver Field Treatment'!K51,"")</f>
        <v/>
      </c>
      <c r="H50" t="str">
        <f>IF(A50&lt;&gt;"",'04B Silver Field Treatment'!M51,"")</f>
        <v/>
      </c>
      <c r="I50" t="str">
        <f>IF(A50&lt;&gt;"",'04B Silver Field Treatment'!N51,"")</f>
        <v/>
      </c>
      <c r="J50" t="str">
        <f>IF(A50&lt;&gt;"",'04B Silver Field Treatment'!O51,"")</f>
        <v/>
      </c>
      <c r="K50" t="str">
        <f>IF(A50&lt;&gt;"",'04B Silver Field Treatment'!P51,"")</f>
        <v/>
      </c>
      <c r="L50" t="str">
        <f>IF(A50&lt;&gt;"",'04B Silver Field Treatment'!V51,"")</f>
        <v/>
      </c>
      <c r="M50" t="str">
        <f>IF(A50&lt;&gt;"",IFERROR(_xludf.XLOOKUP(A50,'03 Bronze Intake'!B$6:B$367,'03 Bronze Intake'!G$6:G$367,""),""),"")</f>
        <v/>
      </c>
      <c r="N50" t="str">
        <f>IF(A50&lt;&gt;"",IFERROR(_xludf.XLOOKUP(A50,'03 Bronze Intake'!B$6:B$367,'03 Bronze Intake'!H$6:H$367,""),""),"")</f>
        <v/>
      </c>
      <c r="O50" t="str">
        <f>IF(A50&lt;&gt;"",IFERROR(_xludf.XLOOKUP(A50,'03 Bronze Intake'!B$6:B$367,'03 Bronze Intake'!M$6:M$367,""),""),"")</f>
        <v/>
      </c>
      <c r="P50" t="str">
        <f>IF(A50&lt;&gt;"",IFERROR(_xludf.XLOOKUP(A50,'03 Bronze Intake'!B$6:B$367,'03 Bronze Intake'!N$6:N$367,""),""),"")</f>
        <v/>
      </c>
      <c r="Q50" t="str">
        <f>IF(A50&lt;&gt;"",IFERROR(_xludf.XLOOKUP(A50,'03 Bronze Intake'!B$6:B$367,'03 Bronze Intake'!O$6:O$367,""),""),"")</f>
        <v/>
      </c>
    </row>
    <row r="51" spans="1:17" x14ac:dyDescent="0.25">
      <c r="A51" t="str">
        <f>IF('04B Silver Field Treatment'!A52&lt;&gt;"",'04B Silver Field Treatment'!A52,"")</f>
        <v/>
      </c>
      <c r="B51" t="str">
        <f>IF(A51&lt;&gt;"",'04B Silver Field Treatment'!B52,"")</f>
        <v/>
      </c>
      <c r="C51" t="str">
        <f>IF(A51&lt;&gt;"",'04B Silver Field Treatment'!D52,"")</f>
        <v/>
      </c>
      <c r="D51" t="str">
        <f>IF(A51&lt;&gt;"",'04B Silver Field Treatment'!X52,"")</f>
        <v/>
      </c>
      <c r="E51" t="str">
        <f>IF(A51&lt;&gt;"",'04B Silver Field Treatment'!Y52,"")</f>
        <v/>
      </c>
      <c r="F51" t="str">
        <f>IF(A51&lt;&gt;"",'04B Silver Field Treatment'!J52,"")</f>
        <v/>
      </c>
      <c r="G51" t="str">
        <f>IF(A51&lt;&gt;"",'04B Silver Field Treatment'!K52,"")</f>
        <v/>
      </c>
      <c r="H51" t="str">
        <f>IF(A51&lt;&gt;"",'04B Silver Field Treatment'!M52,"")</f>
        <v/>
      </c>
      <c r="I51" t="str">
        <f>IF(A51&lt;&gt;"",'04B Silver Field Treatment'!N52,"")</f>
        <v/>
      </c>
      <c r="J51" t="str">
        <f>IF(A51&lt;&gt;"",'04B Silver Field Treatment'!O52,"")</f>
        <v/>
      </c>
      <c r="K51" t="str">
        <f>IF(A51&lt;&gt;"",'04B Silver Field Treatment'!P52,"")</f>
        <v/>
      </c>
      <c r="L51" t="str">
        <f>IF(A51&lt;&gt;"",'04B Silver Field Treatment'!V52,"")</f>
        <v/>
      </c>
      <c r="M51" t="str">
        <f>IF(A51&lt;&gt;"",IFERROR(_xludf.XLOOKUP(A51,'03 Bronze Intake'!B$6:B$367,'03 Bronze Intake'!G$6:G$367,""),""),"")</f>
        <v/>
      </c>
      <c r="N51" t="str">
        <f>IF(A51&lt;&gt;"",IFERROR(_xludf.XLOOKUP(A51,'03 Bronze Intake'!B$6:B$367,'03 Bronze Intake'!H$6:H$367,""),""),"")</f>
        <v/>
      </c>
      <c r="O51" t="str">
        <f>IF(A51&lt;&gt;"",IFERROR(_xludf.XLOOKUP(A51,'03 Bronze Intake'!B$6:B$367,'03 Bronze Intake'!M$6:M$367,""),""),"")</f>
        <v/>
      </c>
      <c r="P51" t="str">
        <f>IF(A51&lt;&gt;"",IFERROR(_xludf.XLOOKUP(A51,'03 Bronze Intake'!B$6:B$367,'03 Bronze Intake'!N$6:N$367,""),""),"")</f>
        <v/>
      </c>
      <c r="Q51" t="str">
        <f>IF(A51&lt;&gt;"",IFERROR(_xludf.XLOOKUP(A51,'03 Bronze Intake'!B$6:B$367,'03 Bronze Intake'!O$6:O$367,""),""),"")</f>
        <v/>
      </c>
    </row>
    <row r="52" spans="1:17" x14ac:dyDescent="0.25">
      <c r="A52" t="str">
        <f>IF('04B Silver Field Treatment'!A53&lt;&gt;"",'04B Silver Field Treatment'!A53,"")</f>
        <v/>
      </c>
      <c r="B52" t="str">
        <f>IF(A52&lt;&gt;"",'04B Silver Field Treatment'!B53,"")</f>
        <v/>
      </c>
      <c r="C52" t="str">
        <f>IF(A52&lt;&gt;"",'04B Silver Field Treatment'!D53,"")</f>
        <v/>
      </c>
      <c r="D52" t="str">
        <f>IF(A52&lt;&gt;"",'04B Silver Field Treatment'!X53,"")</f>
        <v/>
      </c>
      <c r="E52" t="str">
        <f>IF(A52&lt;&gt;"",'04B Silver Field Treatment'!Y53,"")</f>
        <v/>
      </c>
      <c r="F52" t="str">
        <f>IF(A52&lt;&gt;"",'04B Silver Field Treatment'!J53,"")</f>
        <v/>
      </c>
      <c r="G52" t="str">
        <f>IF(A52&lt;&gt;"",'04B Silver Field Treatment'!K53,"")</f>
        <v/>
      </c>
      <c r="H52" t="str">
        <f>IF(A52&lt;&gt;"",'04B Silver Field Treatment'!M53,"")</f>
        <v/>
      </c>
      <c r="I52" t="str">
        <f>IF(A52&lt;&gt;"",'04B Silver Field Treatment'!N53,"")</f>
        <v/>
      </c>
      <c r="J52" t="str">
        <f>IF(A52&lt;&gt;"",'04B Silver Field Treatment'!O53,"")</f>
        <v/>
      </c>
      <c r="K52" t="str">
        <f>IF(A52&lt;&gt;"",'04B Silver Field Treatment'!P53,"")</f>
        <v/>
      </c>
      <c r="L52" t="str">
        <f>IF(A52&lt;&gt;"",'04B Silver Field Treatment'!V53,"")</f>
        <v/>
      </c>
      <c r="M52" t="str">
        <f>IF(A52&lt;&gt;"",IFERROR(_xludf.XLOOKUP(A52,'03 Bronze Intake'!B$6:B$367,'03 Bronze Intake'!G$6:G$367,""),""),"")</f>
        <v/>
      </c>
      <c r="N52" t="str">
        <f>IF(A52&lt;&gt;"",IFERROR(_xludf.XLOOKUP(A52,'03 Bronze Intake'!B$6:B$367,'03 Bronze Intake'!H$6:H$367,""),""),"")</f>
        <v/>
      </c>
      <c r="O52" t="str">
        <f>IF(A52&lt;&gt;"",IFERROR(_xludf.XLOOKUP(A52,'03 Bronze Intake'!B$6:B$367,'03 Bronze Intake'!M$6:M$367,""),""),"")</f>
        <v/>
      </c>
      <c r="P52" t="str">
        <f>IF(A52&lt;&gt;"",IFERROR(_xludf.XLOOKUP(A52,'03 Bronze Intake'!B$6:B$367,'03 Bronze Intake'!N$6:N$367,""),""),"")</f>
        <v/>
      </c>
      <c r="Q52" t="str">
        <f>IF(A52&lt;&gt;"",IFERROR(_xludf.XLOOKUP(A52,'03 Bronze Intake'!B$6:B$367,'03 Bronze Intake'!O$6:O$367,""),""),"")</f>
        <v/>
      </c>
    </row>
    <row r="53" spans="1:17" x14ac:dyDescent="0.25">
      <c r="A53" t="str">
        <f>IF('04B Silver Field Treatment'!A54&lt;&gt;"",'04B Silver Field Treatment'!A54,"")</f>
        <v/>
      </c>
      <c r="B53" t="str">
        <f>IF(A53&lt;&gt;"",'04B Silver Field Treatment'!B54,"")</f>
        <v/>
      </c>
      <c r="C53" t="str">
        <f>IF(A53&lt;&gt;"",'04B Silver Field Treatment'!D54,"")</f>
        <v/>
      </c>
      <c r="D53" t="str">
        <f>IF(A53&lt;&gt;"",'04B Silver Field Treatment'!X54,"")</f>
        <v/>
      </c>
      <c r="E53" t="str">
        <f>IF(A53&lt;&gt;"",'04B Silver Field Treatment'!Y54,"")</f>
        <v/>
      </c>
      <c r="F53" t="str">
        <f>IF(A53&lt;&gt;"",'04B Silver Field Treatment'!J54,"")</f>
        <v/>
      </c>
      <c r="G53" t="str">
        <f>IF(A53&lt;&gt;"",'04B Silver Field Treatment'!K54,"")</f>
        <v/>
      </c>
      <c r="H53" t="str">
        <f>IF(A53&lt;&gt;"",'04B Silver Field Treatment'!M54,"")</f>
        <v/>
      </c>
      <c r="I53" t="str">
        <f>IF(A53&lt;&gt;"",'04B Silver Field Treatment'!N54,"")</f>
        <v/>
      </c>
      <c r="J53" t="str">
        <f>IF(A53&lt;&gt;"",'04B Silver Field Treatment'!O54,"")</f>
        <v/>
      </c>
      <c r="K53" t="str">
        <f>IF(A53&lt;&gt;"",'04B Silver Field Treatment'!P54,"")</f>
        <v/>
      </c>
      <c r="L53" t="str">
        <f>IF(A53&lt;&gt;"",'04B Silver Field Treatment'!V54,"")</f>
        <v/>
      </c>
      <c r="M53" t="str">
        <f>IF(A53&lt;&gt;"",IFERROR(_xludf.XLOOKUP(A53,'03 Bronze Intake'!B$6:B$367,'03 Bronze Intake'!G$6:G$367,""),""),"")</f>
        <v/>
      </c>
      <c r="N53" t="str">
        <f>IF(A53&lt;&gt;"",IFERROR(_xludf.XLOOKUP(A53,'03 Bronze Intake'!B$6:B$367,'03 Bronze Intake'!H$6:H$367,""),""),"")</f>
        <v/>
      </c>
      <c r="O53" t="str">
        <f>IF(A53&lt;&gt;"",IFERROR(_xludf.XLOOKUP(A53,'03 Bronze Intake'!B$6:B$367,'03 Bronze Intake'!M$6:M$367,""),""),"")</f>
        <v/>
      </c>
      <c r="P53" t="str">
        <f>IF(A53&lt;&gt;"",IFERROR(_xludf.XLOOKUP(A53,'03 Bronze Intake'!B$6:B$367,'03 Bronze Intake'!N$6:N$367,""),""),"")</f>
        <v/>
      </c>
      <c r="Q53" t="str">
        <f>IF(A53&lt;&gt;"",IFERROR(_xludf.XLOOKUP(A53,'03 Bronze Intake'!B$6:B$367,'03 Bronze Intake'!O$6:O$367,""),""),"")</f>
        <v/>
      </c>
    </row>
    <row r="54" spans="1:17" x14ac:dyDescent="0.25">
      <c r="A54" t="str">
        <f>IF('04B Silver Field Treatment'!A55&lt;&gt;"",'04B Silver Field Treatment'!A55,"")</f>
        <v/>
      </c>
      <c r="B54" t="str">
        <f>IF(A54&lt;&gt;"",'04B Silver Field Treatment'!B55,"")</f>
        <v/>
      </c>
      <c r="C54" t="str">
        <f>IF(A54&lt;&gt;"",'04B Silver Field Treatment'!D55,"")</f>
        <v/>
      </c>
      <c r="D54" t="str">
        <f>IF(A54&lt;&gt;"",'04B Silver Field Treatment'!X55,"")</f>
        <v/>
      </c>
      <c r="E54" t="str">
        <f>IF(A54&lt;&gt;"",'04B Silver Field Treatment'!Y55,"")</f>
        <v/>
      </c>
      <c r="F54" t="str">
        <f>IF(A54&lt;&gt;"",'04B Silver Field Treatment'!J55,"")</f>
        <v/>
      </c>
      <c r="G54" t="str">
        <f>IF(A54&lt;&gt;"",'04B Silver Field Treatment'!K55,"")</f>
        <v/>
      </c>
      <c r="H54" t="str">
        <f>IF(A54&lt;&gt;"",'04B Silver Field Treatment'!M55,"")</f>
        <v/>
      </c>
      <c r="I54" t="str">
        <f>IF(A54&lt;&gt;"",'04B Silver Field Treatment'!N55,"")</f>
        <v/>
      </c>
      <c r="J54" t="str">
        <f>IF(A54&lt;&gt;"",'04B Silver Field Treatment'!O55,"")</f>
        <v/>
      </c>
      <c r="K54" t="str">
        <f>IF(A54&lt;&gt;"",'04B Silver Field Treatment'!P55,"")</f>
        <v/>
      </c>
      <c r="L54" t="str">
        <f>IF(A54&lt;&gt;"",'04B Silver Field Treatment'!V55,"")</f>
        <v/>
      </c>
      <c r="M54" t="str">
        <f>IF(A54&lt;&gt;"",IFERROR(_xludf.XLOOKUP(A54,'03 Bronze Intake'!B$6:B$367,'03 Bronze Intake'!G$6:G$367,""),""),"")</f>
        <v/>
      </c>
      <c r="N54" t="str">
        <f>IF(A54&lt;&gt;"",IFERROR(_xludf.XLOOKUP(A54,'03 Bronze Intake'!B$6:B$367,'03 Bronze Intake'!H$6:H$367,""),""),"")</f>
        <v/>
      </c>
      <c r="O54" t="str">
        <f>IF(A54&lt;&gt;"",IFERROR(_xludf.XLOOKUP(A54,'03 Bronze Intake'!B$6:B$367,'03 Bronze Intake'!M$6:M$367,""),""),"")</f>
        <v/>
      </c>
      <c r="P54" t="str">
        <f>IF(A54&lt;&gt;"",IFERROR(_xludf.XLOOKUP(A54,'03 Bronze Intake'!B$6:B$367,'03 Bronze Intake'!N$6:N$367,""),""),"")</f>
        <v/>
      </c>
      <c r="Q54" t="str">
        <f>IF(A54&lt;&gt;"",IFERROR(_xludf.XLOOKUP(A54,'03 Bronze Intake'!B$6:B$367,'03 Bronze Intake'!O$6:O$367,""),""),"")</f>
        <v/>
      </c>
    </row>
    <row r="55" spans="1:17" x14ac:dyDescent="0.25">
      <c r="A55" t="str">
        <f>IF('04B Silver Field Treatment'!A56&lt;&gt;"",'04B Silver Field Treatment'!A56,"")</f>
        <v/>
      </c>
      <c r="B55" t="str">
        <f>IF(A55&lt;&gt;"",'04B Silver Field Treatment'!B56,"")</f>
        <v/>
      </c>
      <c r="C55" t="str">
        <f>IF(A55&lt;&gt;"",'04B Silver Field Treatment'!D56,"")</f>
        <v/>
      </c>
      <c r="D55" t="str">
        <f>IF(A55&lt;&gt;"",'04B Silver Field Treatment'!X56,"")</f>
        <v/>
      </c>
      <c r="E55" t="str">
        <f>IF(A55&lt;&gt;"",'04B Silver Field Treatment'!Y56,"")</f>
        <v/>
      </c>
      <c r="F55" t="str">
        <f>IF(A55&lt;&gt;"",'04B Silver Field Treatment'!J56,"")</f>
        <v/>
      </c>
      <c r="G55" t="str">
        <f>IF(A55&lt;&gt;"",'04B Silver Field Treatment'!K56,"")</f>
        <v/>
      </c>
      <c r="H55" t="str">
        <f>IF(A55&lt;&gt;"",'04B Silver Field Treatment'!M56,"")</f>
        <v/>
      </c>
      <c r="I55" t="str">
        <f>IF(A55&lt;&gt;"",'04B Silver Field Treatment'!N56,"")</f>
        <v/>
      </c>
      <c r="J55" t="str">
        <f>IF(A55&lt;&gt;"",'04B Silver Field Treatment'!O56,"")</f>
        <v/>
      </c>
      <c r="K55" t="str">
        <f>IF(A55&lt;&gt;"",'04B Silver Field Treatment'!P56,"")</f>
        <v/>
      </c>
      <c r="L55" t="str">
        <f>IF(A55&lt;&gt;"",'04B Silver Field Treatment'!V56,"")</f>
        <v/>
      </c>
      <c r="M55" t="str">
        <f>IF(A55&lt;&gt;"",IFERROR(_xludf.XLOOKUP(A55,'03 Bronze Intake'!B$6:B$367,'03 Bronze Intake'!G$6:G$367,""),""),"")</f>
        <v/>
      </c>
      <c r="N55" t="str">
        <f>IF(A55&lt;&gt;"",IFERROR(_xludf.XLOOKUP(A55,'03 Bronze Intake'!B$6:B$367,'03 Bronze Intake'!H$6:H$367,""),""),"")</f>
        <v/>
      </c>
      <c r="O55" t="str">
        <f>IF(A55&lt;&gt;"",IFERROR(_xludf.XLOOKUP(A55,'03 Bronze Intake'!B$6:B$367,'03 Bronze Intake'!M$6:M$367,""),""),"")</f>
        <v/>
      </c>
      <c r="P55" t="str">
        <f>IF(A55&lt;&gt;"",IFERROR(_xludf.XLOOKUP(A55,'03 Bronze Intake'!B$6:B$367,'03 Bronze Intake'!N$6:N$367,""),""),"")</f>
        <v/>
      </c>
      <c r="Q55" t="str">
        <f>IF(A55&lt;&gt;"",IFERROR(_xludf.XLOOKUP(A55,'03 Bronze Intake'!B$6:B$367,'03 Bronze Intake'!O$6:O$367,""),""),"")</f>
        <v/>
      </c>
    </row>
    <row r="56" spans="1:17" x14ac:dyDescent="0.25">
      <c r="A56" t="str">
        <f>IF('04B Silver Field Treatment'!A57&lt;&gt;"",'04B Silver Field Treatment'!A57,"")</f>
        <v/>
      </c>
      <c r="B56" t="str">
        <f>IF(A56&lt;&gt;"",'04B Silver Field Treatment'!B57,"")</f>
        <v/>
      </c>
      <c r="C56" t="str">
        <f>IF(A56&lt;&gt;"",'04B Silver Field Treatment'!D57,"")</f>
        <v/>
      </c>
      <c r="D56" t="str">
        <f>IF(A56&lt;&gt;"",'04B Silver Field Treatment'!X57,"")</f>
        <v/>
      </c>
      <c r="E56" t="str">
        <f>IF(A56&lt;&gt;"",'04B Silver Field Treatment'!Y57,"")</f>
        <v/>
      </c>
      <c r="F56" t="str">
        <f>IF(A56&lt;&gt;"",'04B Silver Field Treatment'!J57,"")</f>
        <v/>
      </c>
      <c r="G56" t="str">
        <f>IF(A56&lt;&gt;"",'04B Silver Field Treatment'!K57,"")</f>
        <v/>
      </c>
      <c r="H56" t="str">
        <f>IF(A56&lt;&gt;"",'04B Silver Field Treatment'!M57,"")</f>
        <v/>
      </c>
      <c r="I56" t="str">
        <f>IF(A56&lt;&gt;"",'04B Silver Field Treatment'!N57,"")</f>
        <v/>
      </c>
      <c r="J56" t="str">
        <f>IF(A56&lt;&gt;"",'04B Silver Field Treatment'!O57,"")</f>
        <v/>
      </c>
      <c r="K56" t="str">
        <f>IF(A56&lt;&gt;"",'04B Silver Field Treatment'!P57,"")</f>
        <v/>
      </c>
      <c r="L56" t="str">
        <f>IF(A56&lt;&gt;"",'04B Silver Field Treatment'!V57,"")</f>
        <v/>
      </c>
      <c r="M56" t="str">
        <f>IF(A56&lt;&gt;"",IFERROR(_xludf.XLOOKUP(A56,'03 Bronze Intake'!B$6:B$367,'03 Bronze Intake'!G$6:G$367,""),""),"")</f>
        <v/>
      </c>
      <c r="N56" t="str">
        <f>IF(A56&lt;&gt;"",IFERROR(_xludf.XLOOKUP(A56,'03 Bronze Intake'!B$6:B$367,'03 Bronze Intake'!H$6:H$367,""),""),"")</f>
        <v/>
      </c>
      <c r="O56" t="str">
        <f>IF(A56&lt;&gt;"",IFERROR(_xludf.XLOOKUP(A56,'03 Bronze Intake'!B$6:B$367,'03 Bronze Intake'!M$6:M$367,""),""),"")</f>
        <v/>
      </c>
      <c r="P56" t="str">
        <f>IF(A56&lt;&gt;"",IFERROR(_xludf.XLOOKUP(A56,'03 Bronze Intake'!B$6:B$367,'03 Bronze Intake'!N$6:N$367,""),""),"")</f>
        <v/>
      </c>
      <c r="Q56" t="str">
        <f>IF(A56&lt;&gt;"",IFERROR(_xludf.XLOOKUP(A56,'03 Bronze Intake'!B$6:B$367,'03 Bronze Intake'!O$6:O$367,""),""),"")</f>
        <v/>
      </c>
    </row>
    <row r="57" spans="1:17" x14ac:dyDescent="0.25">
      <c r="A57" t="str">
        <f>IF('04B Silver Field Treatment'!A58&lt;&gt;"",'04B Silver Field Treatment'!A58,"")</f>
        <v/>
      </c>
      <c r="B57" t="str">
        <f>IF(A57&lt;&gt;"",'04B Silver Field Treatment'!B58,"")</f>
        <v/>
      </c>
      <c r="C57" t="str">
        <f>IF(A57&lt;&gt;"",'04B Silver Field Treatment'!D58,"")</f>
        <v/>
      </c>
      <c r="D57" t="str">
        <f>IF(A57&lt;&gt;"",'04B Silver Field Treatment'!X58,"")</f>
        <v/>
      </c>
      <c r="E57" t="str">
        <f>IF(A57&lt;&gt;"",'04B Silver Field Treatment'!Y58,"")</f>
        <v/>
      </c>
      <c r="F57" t="str">
        <f>IF(A57&lt;&gt;"",'04B Silver Field Treatment'!J58,"")</f>
        <v/>
      </c>
      <c r="G57" t="str">
        <f>IF(A57&lt;&gt;"",'04B Silver Field Treatment'!K58,"")</f>
        <v/>
      </c>
      <c r="H57" t="str">
        <f>IF(A57&lt;&gt;"",'04B Silver Field Treatment'!M58,"")</f>
        <v/>
      </c>
      <c r="I57" t="str">
        <f>IF(A57&lt;&gt;"",'04B Silver Field Treatment'!N58,"")</f>
        <v/>
      </c>
      <c r="J57" t="str">
        <f>IF(A57&lt;&gt;"",'04B Silver Field Treatment'!O58,"")</f>
        <v/>
      </c>
      <c r="K57" t="str">
        <f>IF(A57&lt;&gt;"",'04B Silver Field Treatment'!P58,"")</f>
        <v/>
      </c>
      <c r="L57" t="str">
        <f>IF(A57&lt;&gt;"",'04B Silver Field Treatment'!V58,"")</f>
        <v/>
      </c>
      <c r="M57" t="str">
        <f>IF(A57&lt;&gt;"",IFERROR(_xludf.XLOOKUP(A57,'03 Bronze Intake'!B$6:B$367,'03 Bronze Intake'!G$6:G$367,""),""),"")</f>
        <v/>
      </c>
      <c r="N57" t="str">
        <f>IF(A57&lt;&gt;"",IFERROR(_xludf.XLOOKUP(A57,'03 Bronze Intake'!B$6:B$367,'03 Bronze Intake'!H$6:H$367,""),""),"")</f>
        <v/>
      </c>
      <c r="O57" t="str">
        <f>IF(A57&lt;&gt;"",IFERROR(_xludf.XLOOKUP(A57,'03 Bronze Intake'!B$6:B$367,'03 Bronze Intake'!M$6:M$367,""),""),"")</f>
        <v/>
      </c>
      <c r="P57" t="str">
        <f>IF(A57&lt;&gt;"",IFERROR(_xludf.XLOOKUP(A57,'03 Bronze Intake'!B$6:B$367,'03 Bronze Intake'!N$6:N$367,""),""),"")</f>
        <v/>
      </c>
      <c r="Q57" t="str">
        <f>IF(A57&lt;&gt;"",IFERROR(_xludf.XLOOKUP(A57,'03 Bronze Intake'!B$6:B$367,'03 Bronze Intake'!O$6:O$367,""),""),"")</f>
        <v/>
      </c>
    </row>
    <row r="58" spans="1:17" x14ac:dyDescent="0.25">
      <c r="A58" t="str">
        <f>IF('04B Silver Field Treatment'!A59&lt;&gt;"",'04B Silver Field Treatment'!A59,"")</f>
        <v/>
      </c>
      <c r="B58" t="str">
        <f>IF(A58&lt;&gt;"",'04B Silver Field Treatment'!B59,"")</f>
        <v/>
      </c>
      <c r="C58" t="str">
        <f>IF(A58&lt;&gt;"",'04B Silver Field Treatment'!D59,"")</f>
        <v/>
      </c>
      <c r="D58" t="str">
        <f>IF(A58&lt;&gt;"",'04B Silver Field Treatment'!X59,"")</f>
        <v/>
      </c>
      <c r="E58" t="str">
        <f>IF(A58&lt;&gt;"",'04B Silver Field Treatment'!Y59,"")</f>
        <v/>
      </c>
      <c r="F58" t="str">
        <f>IF(A58&lt;&gt;"",'04B Silver Field Treatment'!J59,"")</f>
        <v/>
      </c>
      <c r="G58" t="str">
        <f>IF(A58&lt;&gt;"",'04B Silver Field Treatment'!K59,"")</f>
        <v/>
      </c>
      <c r="H58" t="str">
        <f>IF(A58&lt;&gt;"",'04B Silver Field Treatment'!M59,"")</f>
        <v/>
      </c>
      <c r="I58" t="str">
        <f>IF(A58&lt;&gt;"",'04B Silver Field Treatment'!N59,"")</f>
        <v/>
      </c>
      <c r="J58" t="str">
        <f>IF(A58&lt;&gt;"",'04B Silver Field Treatment'!O59,"")</f>
        <v/>
      </c>
      <c r="K58" t="str">
        <f>IF(A58&lt;&gt;"",'04B Silver Field Treatment'!P59,"")</f>
        <v/>
      </c>
      <c r="L58" t="str">
        <f>IF(A58&lt;&gt;"",'04B Silver Field Treatment'!V59,"")</f>
        <v/>
      </c>
      <c r="M58" t="str">
        <f>IF(A58&lt;&gt;"",IFERROR(_xludf.XLOOKUP(A58,'03 Bronze Intake'!B$6:B$367,'03 Bronze Intake'!G$6:G$367,""),""),"")</f>
        <v/>
      </c>
      <c r="N58" t="str">
        <f>IF(A58&lt;&gt;"",IFERROR(_xludf.XLOOKUP(A58,'03 Bronze Intake'!B$6:B$367,'03 Bronze Intake'!H$6:H$367,""),""),"")</f>
        <v/>
      </c>
      <c r="O58" t="str">
        <f>IF(A58&lt;&gt;"",IFERROR(_xludf.XLOOKUP(A58,'03 Bronze Intake'!B$6:B$367,'03 Bronze Intake'!M$6:M$367,""),""),"")</f>
        <v/>
      </c>
      <c r="P58" t="str">
        <f>IF(A58&lt;&gt;"",IFERROR(_xludf.XLOOKUP(A58,'03 Bronze Intake'!B$6:B$367,'03 Bronze Intake'!N$6:N$367,""),""),"")</f>
        <v/>
      </c>
      <c r="Q58" t="str">
        <f>IF(A58&lt;&gt;"",IFERROR(_xludf.XLOOKUP(A58,'03 Bronze Intake'!B$6:B$367,'03 Bronze Intake'!O$6:O$367,""),""),"")</f>
        <v/>
      </c>
    </row>
    <row r="59" spans="1:17" x14ac:dyDescent="0.25">
      <c r="A59" t="str">
        <f>IF('04B Silver Field Treatment'!A60&lt;&gt;"",'04B Silver Field Treatment'!A60,"")</f>
        <v/>
      </c>
      <c r="B59" t="str">
        <f>IF(A59&lt;&gt;"",'04B Silver Field Treatment'!B60,"")</f>
        <v/>
      </c>
      <c r="C59" t="str">
        <f>IF(A59&lt;&gt;"",'04B Silver Field Treatment'!D60,"")</f>
        <v/>
      </c>
      <c r="D59" t="str">
        <f>IF(A59&lt;&gt;"",'04B Silver Field Treatment'!X60,"")</f>
        <v/>
      </c>
      <c r="E59" t="str">
        <f>IF(A59&lt;&gt;"",'04B Silver Field Treatment'!Y60,"")</f>
        <v/>
      </c>
      <c r="F59" t="str">
        <f>IF(A59&lt;&gt;"",'04B Silver Field Treatment'!J60,"")</f>
        <v/>
      </c>
      <c r="G59" t="str">
        <f>IF(A59&lt;&gt;"",'04B Silver Field Treatment'!K60,"")</f>
        <v/>
      </c>
      <c r="H59" t="str">
        <f>IF(A59&lt;&gt;"",'04B Silver Field Treatment'!M60,"")</f>
        <v/>
      </c>
      <c r="I59" t="str">
        <f>IF(A59&lt;&gt;"",'04B Silver Field Treatment'!N60,"")</f>
        <v/>
      </c>
      <c r="J59" t="str">
        <f>IF(A59&lt;&gt;"",'04B Silver Field Treatment'!O60,"")</f>
        <v/>
      </c>
      <c r="K59" t="str">
        <f>IF(A59&lt;&gt;"",'04B Silver Field Treatment'!P60,"")</f>
        <v/>
      </c>
      <c r="L59" t="str">
        <f>IF(A59&lt;&gt;"",'04B Silver Field Treatment'!V60,"")</f>
        <v/>
      </c>
      <c r="M59" t="str">
        <f>IF(A59&lt;&gt;"",IFERROR(_xludf.XLOOKUP(A59,'03 Bronze Intake'!B$6:B$367,'03 Bronze Intake'!G$6:G$367,""),""),"")</f>
        <v/>
      </c>
      <c r="N59" t="str">
        <f>IF(A59&lt;&gt;"",IFERROR(_xludf.XLOOKUP(A59,'03 Bronze Intake'!B$6:B$367,'03 Bronze Intake'!H$6:H$367,""),""),"")</f>
        <v/>
      </c>
      <c r="O59" t="str">
        <f>IF(A59&lt;&gt;"",IFERROR(_xludf.XLOOKUP(A59,'03 Bronze Intake'!B$6:B$367,'03 Bronze Intake'!M$6:M$367,""),""),"")</f>
        <v/>
      </c>
      <c r="P59" t="str">
        <f>IF(A59&lt;&gt;"",IFERROR(_xludf.XLOOKUP(A59,'03 Bronze Intake'!B$6:B$367,'03 Bronze Intake'!N$6:N$367,""),""),"")</f>
        <v/>
      </c>
      <c r="Q59" t="str">
        <f>IF(A59&lt;&gt;"",IFERROR(_xludf.XLOOKUP(A59,'03 Bronze Intake'!B$6:B$367,'03 Bronze Intake'!O$6:O$367,""),""),"")</f>
        <v/>
      </c>
    </row>
    <row r="60" spans="1:17" x14ac:dyDescent="0.25">
      <c r="A60" t="str">
        <f>IF('04B Silver Field Treatment'!A61&lt;&gt;"",'04B Silver Field Treatment'!A61,"")</f>
        <v/>
      </c>
      <c r="B60" t="str">
        <f>IF(A60&lt;&gt;"",'04B Silver Field Treatment'!B61,"")</f>
        <v/>
      </c>
      <c r="C60" t="str">
        <f>IF(A60&lt;&gt;"",'04B Silver Field Treatment'!D61,"")</f>
        <v/>
      </c>
      <c r="D60" t="str">
        <f>IF(A60&lt;&gt;"",'04B Silver Field Treatment'!X61,"")</f>
        <v/>
      </c>
      <c r="E60" t="str">
        <f>IF(A60&lt;&gt;"",'04B Silver Field Treatment'!Y61,"")</f>
        <v/>
      </c>
      <c r="F60" t="str">
        <f>IF(A60&lt;&gt;"",'04B Silver Field Treatment'!J61,"")</f>
        <v/>
      </c>
      <c r="G60" t="str">
        <f>IF(A60&lt;&gt;"",'04B Silver Field Treatment'!K61,"")</f>
        <v/>
      </c>
      <c r="H60" t="str">
        <f>IF(A60&lt;&gt;"",'04B Silver Field Treatment'!M61,"")</f>
        <v/>
      </c>
      <c r="I60" t="str">
        <f>IF(A60&lt;&gt;"",'04B Silver Field Treatment'!N61,"")</f>
        <v/>
      </c>
      <c r="J60" t="str">
        <f>IF(A60&lt;&gt;"",'04B Silver Field Treatment'!O61,"")</f>
        <v/>
      </c>
      <c r="K60" t="str">
        <f>IF(A60&lt;&gt;"",'04B Silver Field Treatment'!P61,"")</f>
        <v/>
      </c>
      <c r="L60" t="str">
        <f>IF(A60&lt;&gt;"",'04B Silver Field Treatment'!V61,"")</f>
        <v/>
      </c>
      <c r="M60" t="str">
        <f>IF(A60&lt;&gt;"",IFERROR(_xludf.XLOOKUP(A60,'03 Bronze Intake'!B$6:B$367,'03 Bronze Intake'!G$6:G$367,""),""),"")</f>
        <v/>
      </c>
      <c r="N60" t="str">
        <f>IF(A60&lt;&gt;"",IFERROR(_xludf.XLOOKUP(A60,'03 Bronze Intake'!B$6:B$367,'03 Bronze Intake'!H$6:H$367,""),""),"")</f>
        <v/>
      </c>
      <c r="O60" t="str">
        <f>IF(A60&lt;&gt;"",IFERROR(_xludf.XLOOKUP(A60,'03 Bronze Intake'!B$6:B$367,'03 Bronze Intake'!M$6:M$367,""),""),"")</f>
        <v/>
      </c>
      <c r="P60" t="str">
        <f>IF(A60&lt;&gt;"",IFERROR(_xludf.XLOOKUP(A60,'03 Bronze Intake'!B$6:B$367,'03 Bronze Intake'!N$6:N$367,""),""),"")</f>
        <v/>
      </c>
      <c r="Q60" t="str">
        <f>IF(A60&lt;&gt;"",IFERROR(_xludf.XLOOKUP(A60,'03 Bronze Intake'!B$6:B$367,'03 Bronze Intake'!O$6:O$367,""),""),"")</f>
        <v/>
      </c>
    </row>
    <row r="61" spans="1:17" x14ac:dyDescent="0.25">
      <c r="A61" t="str">
        <f>IF('04B Silver Field Treatment'!A62&lt;&gt;"",'04B Silver Field Treatment'!A62,"")</f>
        <v/>
      </c>
      <c r="B61" t="str">
        <f>IF(A61&lt;&gt;"",'04B Silver Field Treatment'!B62,"")</f>
        <v/>
      </c>
      <c r="C61" t="str">
        <f>IF(A61&lt;&gt;"",'04B Silver Field Treatment'!D62,"")</f>
        <v/>
      </c>
      <c r="D61" t="str">
        <f>IF(A61&lt;&gt;"",'04B Silver Field Treatment'!X62,"")</f>
        <v/>
      </c>
      <c r="E61" t="str">
        <f>IF(A61&lt;&gt;"",'04B Silver Field Treatment'!Y62,"")</f>
        <v/>
      </c>
      <c r="F61" t="str">
        <f>IF(A61&lt;&gt;"",'04B Silver Field Treatment'!J62,"")</f>
        <v/>
      </c>
      <c r="G61" t="str">
        <f>IF(A61&lt;&gt;"",'04B Silver Field Treatment'!K62,"")</f>
        <v/>
      </c>
      <c r="H61" t="str">
        <f>IF(A61&lt;&gt;"",'04B Silver Field Treatment'!M62,"")</f>
        <v/>
      </c>
      <c r="I61" t="str">
        <f>IF(A61&lt;&gt;"",'04B Silver Field Treatment'!N62,"")</f>
        <v/>
      </c>
      <c r="J61" t="str">
        <f>IF(A61&lt;&gt;"",'04B Silver Field Treatment'!O62,"")</f>
        <v/>
      </c>
      <c r="K61" t="str">
        <f>IF(A61&lt;&gt;"",'04B Silver Field Treatment'!P62,"")</f>
        <v/>
      </c>
      <c r="L61" t="str">
        <f>IF(A61&lt;&gt;"",'04B Silver Field Treatment'!V62,"")</f>
        <v/>
      </c>
      <c r="M61" t="str">
        <f>IF(A61&lt;&gt;"",IFERROR(_xludf.XLOOKUP(A61,'03 Bronze Intake'!B$6:B$367,'03 Bronze Intake'!G$6:G$367,""),""),"")</f>
        <v/>
      </c>
      <c r="N61" t="str">
        <f>IF(A61&lt;&gt;"",IFERROR(_xludf.XLOOKUP(A61,'03 Bronze Intake'!B$6:B$367,'03 Bronze Intake'!H$6:H$367,""),""),"")</f>
        <v/>
      </c>
      <c r="O61" t="str">
        <f>IF(A61&lt;&gt;"",IFERROR(_xludf.XLOOKUP(A61,'03 Bronze Intake'!B$6:B$367,'03 Bronze Intake'!M$6:M$367,""),""),"")</f>
        <v/>
      </c>
      <c r="P61" t="str">
        <f>IF(A61&lt;&gt;"",IFERROR(_xludf.XLOOKUP(A61,'03 Bronze Intake'!B$6:B$367,'03 Bronze Intake'!N$6:N$367,""),""),"")</f>
        <v/>
      </c>
      <c r="Q61" t="str">
        <f>IF(A61&lt;&gt;"",IFERROR(_xludf.XLOOKUP(A61,'03 Bronze Intake'!B$6:B$367,'03 Bronze Intake'!O$6:O$367,""),""),"")</f>
        <v/>
      </c>
    </row>
    <row r="62" spans="1:17" x14ac:dyDescent="0.25">
      <c r="A62" t="str">
        <f>IF('04B Silver Field Treatment'!A63&lt;&gt;"",'04B Silver Field Treatment'!A63,"")</f>
        <v/>
      </c>
      <c r="B62" t="str">
        <f>IF(A62&lt;&gt;"",'04B Silver Field Treatment'!B63,"")</f>
        <v/>
      </c>
      <c r="C62" t="str">
        <f>IF(A62&lt;&gt;"",'04B Silver Field Treatment'!D63,"")</f>
        <v/>
      </c>
      <c r="D62" t="str">
        <f>IF(A62&lt;&gt;"",'04B Silver Field Treatment'!X63,"")</f>
        <v/>
      </c>
      <c r="E62" t="str">
        <f>IF(A62&lt;&gt;"",'04B Silver Field Treatment'!Y63,"")</f>
        <v/>
      </c>
      <c r="F62" t="str">
        <f>IF(A62&lt;&gt;"",'04B Silver Field Treatment'!J63,"")</f>
        <v/>
      </c>
      <c r="G62" t="str">
        <f>IF(A62&lt;&gt;"",'04B Silver Field Treatment'!K63,"")</f>
        <v/>
      </c>
      <c r="H62" t="str">
        <f>IF(A62&lt;&gt;"",'04B Silver Field Treatment'!M63,"")</f>
        <v/>
      </c>
      <c r="I62" t="str">
        <f>IF(A62&lt;&gt;"",'04B Silver Field Treatment'!N63,"")</f>
        <v/>
      </c>
      <c r="J62" t="str">
        <f>IF(A62&lt;&gt;"",'04B Silver Field Treatment'!O63,"")</f>
        <v/>
      </c>
      <c r="K62" t="str">
        <f>IF(A62&lt;&gt;"",'04B Silver Field Treatment'!P63,"")</f>
        <v/>
      </c>
      <c r="L62" t="str">
        <f>IF(A62&lt;&gt;"",'04B Silver Field Treatment'!V63,"")</f>
        <v/>
      </c>
      <c r="M62" t="str">
        <f>IF(A62&lt;&gt;"",IFERROR(_xludf.XLOOKUP(A62,'03 Bronze Intake'!B$6:B$367,'03 Bronze Intake'!G$6:G$367,""),""),"")</f>
        <v/>
      </c>
      <c r="N62" t="str">
        <f>IF(A62&lt;&gt;"",IFERROR(_xludf.XLOOKUP(A62,'03 Bronze Intake'!B$6:B$367,'03 Bronze Intake'!H$6:H$367,""),""),"")</f>
        <v/>
      </c>
      <c r="O62" t="str">
        <f>IF(A62&lt;&gt;"",IFERROR(_xludf.XLOOKUP(A62,'03 Bronze Intake'!B$6:B$367,'03 Bronze Intake'!M$6:M$367,""),""),"")</f>
        <v/>
      </c>
      <c r="P62" t="str">
        <f>IF(A62&lt;&gt;"",IFERROR(_xludf.XLOOKUP(A62,'03 Bronze Intake'!B$6:B$367,'03 Bronze Intake'!N$6:N$367,""),""),"")</f>
        <v/>
      </c>
      <c r="Q62" t="str">
        <f>IF(A62&lt;&gt;"",IFERROR(_xludf.XLOOKUP(A62,'03 Bronze Intake'!B$6:B$367,'03 Bronze Intake'!O$6:O$367,""),""),"")</f>
        <v/>
      </c>
    </row>
    <row r="63" spans="1:17" x14ac:dyDescent="0.25">
      <c r="A63" t="str">
        <f>IF('04B Silver Field Treatment'!A64&lt;&gt;"",'04B Silver Field Treatment'!A64,"")</f>
        <v/>
      </c>
      <c r="B63" t="str">
        <f>IF(A63&lt;&gt;"",'04B Silver Field Treatment'!B64,"")</f>
        <v/>
      </c>
      <c r="C63" t="str">
        <f>IF(A63&lt;&gt;"",'04B Silver Field Treatment'!D64,"")</f>
        <v/>
      </c>
      <c r="D63" t="str">
        <f>IF(A63&lt;&gt;"",'04B Silver Field Treatment'!X64,"")</f>
        <v/>
      </c>
      <c r="E63" t="str">
        <f>IF(A63&lt;&gt;"",'04B Silver Field Treatment'!Y64,"")</f>
        <v/>
      </c>
      <c r="F63" t="str">
        <f>IF(A63&lt;&gt;"",'04B Silver Field Treatment'!J64,"")</f>
        <v/>
      </c>
      <c r="G63" t="str">
        <f>IF(A63&lt;&gt;"",'04B Silver Field Treatment'!K64,"")</f>
        <v/>
      </c>
      <c r="H63" t="str">
        <f>IF(A63&lt;&gt;"",'04B Silver Field Treatment'!M64,"")</f>
        <v/>
      </c>
      <c r="I63" t="str">
        <f>IF(A63&lt;&gt;"",'04B Silver Field Treatment'!N64,"")</f>
        <v/>
      </c>
      <c r="J63" t="str">
        <f>IF(A63&lt;&gt;"",'04B Silver Field Treatment'!O64,"")</f>
        <v/>
      </c>
      <c r="K63" t="str">
        <f>IF(A63&lt;&gt;"",'04B Silver Field Treatment'!P64,"")</f>
        <v/>
      </c>
      <c r="L63" t="str">
        <f>IF(A63&lt;&gt;"",'04B Silver Field Treatment'!V64,"")</f>
        <v/>
      </c>
      <c r="M63" t="str">
        <f>IF(A63&lt;&gt;"",IFERROR(_xludf.XLOOKUP(A63,'03 Bronze Intake'!B$6:B$367,'03 Bronze Intake'!G$6:G$367,""),""),"")</f>
        <v/>
      </c>
      <c r="N63" t="str">
        <f>IF(A63&lt;&gt;"",IFERROR(_xludf.XLOOKUP(A63,'03 Bronze Intake'!B$6:B$367,'03 Bronze Intake'!H$6:H$367,""),""),"")</f>
        <v/>
      </c>
      <c r="O63" t="str">
        <f>IF(A63&lt;&gt;"",IFERROR(_xludf.XLOOKUP(A63,'03 Bronze Intake'!B$6:B$367,'03 Bronze Intake'!M$6:M$367,""),""),"")</f>
        <v/>
      </c>
      <c r="P63" t="str">
        <f>IF(A63&lt;&gt;"",IFERROR(_xludf.XLOOKUP(A63,'03 Bronze Intake'!B$6:B$367,'03 Bronze Intake'!N$6:N$367,""),""),"")</f>
        <v/>
      </c>
      <c r="Q63" t="str">
        <f>IF(A63&lt;&gt;"",IFERROR(_xludf.XLOOKUP(A63,'03 Bronze Intake'!B$6:B$367,'03 Bronze Intake'!O$6:O$367,""),""),"")</f>
        <v/>
      </c>
    </row>
    <row r="64" spans="1:17" x14ac:dyDescent="0.25">
      <c r="A64" t="str">
        <f>IF('04B Silver Field Treatment'!A65&lt;&gt;"",'04B Silver Field Treatment'!A65,"")</f>
        <v/>
      </c>
      <c r="B64" t="str">
        <f>IF(A64&lt;&gt;"",'04B Silver Field Treatment'!B65,"")</f>
        <v/>
      </c>
      <c r="C64" t="str">
        <f>IF(A64&lt;&gt;"",'04B Silver Field Treatment'!D65,"")</f>
        <v/>
      </c>
      <c r="D64" t="str">
        <f>IF(A64&lt;&gt;"",'04B Silver Field Treatment'!X65,"")</f>
        <v/>
      </c>
      <c r="E64" t="str">
        <f>IF(A64&lt;&gt;"",'04B Silver Field Treatment'!Y65,"")</f>
        <v/>
      </c>
      <c r="F64" t="str">
        <f>IF(A64&lt;&gt;"",'04B Silver Field Treatment'!J65,"")</f>
        <v/>
      </c>
      <c r="G64" t="str">
        <f>IF(A64&lt;&gt;"",'04B Silver Field Treatment'!K65,"")</f>
        <v/>
      </c>
      <c r="H64" t="str">
        <f>IF(A64&lt;&gt;"",'04B Silver Field Treatment'!M65,"")</f>
        <v/>
      </c>
      <c r="I64" t="str">
        <f>IF(A64&lt;&gt;"",'04B Silver Field Treatment'!N65,"")</f>
        <v/>
      </c>
      <c r="J64" t="str">
        <f>IF(A64&lt;&gt;"",'04B Silver Field Treatment'!O65,"")</f>
        <v/>
      </c>
      <c r="K64" t="str">
        <f>IF(A64&lt;&gt;"",'04B Silver Field Treatment'!P65,"")</f>
        <v/>
      </c>
      <c r="L64" t="str">
        <f>IF(A64&lt;&gt;"",'04B Silver Field Treatment'!V65,"")</f>
        <v/>
      </c>
      <c r="M64" t="str">
        <f>IF(A64&lt;&gt;"",IFERROR(_xludf.XLOOKUP(A64,'03 Bronze Intake'!B$6:B$367,'03 Bronze Intake'!G$6:G$367,""),""),"")</f>
        <v/>
      </c>
      <c r="N64" t="str">
        <f>IF(A64&lt;&gt;"",IFERROR(_xludf.XLOOKUP(A64,'03 Bronze Intake'!B$6:B$367,'03 Bronze Intake'!H$6:H$367,""),""),"")</f>
        <v/>
      </c>
      <c r="O64" t="str">
        <f>IF(A64&lt;&gt;"",IFERROR(_xludf.XLOOKUP(A64,'03 Bronze Intake'!B$6:B$367,'03 Bronze Intake'!M$6:M$367,""),""),"")</f>
        <v/>
      </c>
      <c r="P64" t="str">
        <f>IF(A64&lt;&gt;"",IFERROR(_xludf.XLOOKUP(A64,'03 Bronze Intake'!B$6:B$367,'03 Bronze Intake'!N$6:N$367,""),""),"")</f>
        <v/>
      </c>
      <c r="Q64" t="str">
        <f>IF(A64&lt;&gt;"",IFERROR(_xludf.XLOOKUP(A64,'03 Bronze Intake'!B$6:B$367,'03 Bronze Intake'!O$6:O$367,""),""),"")</f>
        <v/>
      </c>
    </row>
    <row r="65" spans="1:17" x14ac:dyDescent="0.25">
      <c r="A65" t="str">
        <f>IF('04B Silver Field Treatment'!A66&lt;&gt;"",'04B Silver Field Treatment'!A66,"")</f>
        <v/>
      </c>
      <c r="B65" t="str">
        <f>IF(A65&lt;&gt;"",'04B Silver Field Treatment'!B66,"")</f>
        <v/>
      </c>
      <c r="C65" t="str">
        <f>IF(A65&lt;&gt;"",'04B Silver Field Treatment'!D66,"")</f>
        <v/>
      </c>
      <c r="D65" t="str">
        <f>IF(A65&lt;&gt;"",'04B Silver Field Treatment'!X66,"")</f>
        <v/>
      </c>
      <c r="E65" t="str">
        <f>IF(A65&lt;&gt;"",'04B Silver Field Treatment'!Y66,"")</f>
        <v/>
      </c>
      <c r="F65" t="str">
        <f>IF(A65&lt;&gt;"",'04B Silver Field Treatment'!J66,"")</f>
        <v/>
      </c>
      <c r="G65" t="str">
        <f>IF(A65&lt;&gt;"",'04B Silver Field Treatment'!K66,"")</f>
        <v/>
      </c>
      <c r="H65" t="str">
        <f>IF(A65&lt;&gt;"",'04B Silver Field Treatment'!M66,"")</f>
        <v/>
      </c>
      <c r="I65" t="str">
        <f>IF(A65&lt;&gt;"",'04B Silver Field Treatment'!N66,"")</f>
        <v/>
      </c>
      <c r="J65" t="str">
        <f>IF(A65&lt;&gt;"",'04B Silver Field Treatment'!O66,"")</f>
        <v/>
      </c>
      <c r="K65" t="str">
        <f>IF(A65&lt;&gt;"",'04B Silver Field Treatment'!P66,"")</f>
        <v/>
      </c>
      <c r="L65" t="str">
        <f>IF(A65&lt;&gt;"",'04B Silver Field Treatment'!V66,"")</f>
        <v/>
      </c>
      <c r="M65" t="str">
        <f>IF(A65&lt;&gt;"",IFERROR(_xludf.XLOOKUP(A65,'03 Bronze Intake'!B$6:B$367,'03 Bronze Intake'!G$6:G$367,""),""),"")</f>
        <v/>
      </c>
      <c r="N65" t="str">
        <f>IF(A65&lt;&gt;"",IFERROR(_xludf.XLOOKUP(A65,'03 Bronze Intake'!B$6:B$367,'03 Bronze Intake'!H$6:H$367,""),""),"")</f>
        <v/>
      </c>
      <c r="O65" t="str">
        <f>IF(A65&lt;&gt;"",IFERROR(_xludf.XLOOKUP(A65,'03 Bronze Intake'!B$6:B$367,'03 Bronze Intake'!M$6:M$367,""),""),"")</f>
        <v/>
      </c>
      <c r="P65" t="str">
        <f>IF(A65&lt;&gt;"",IFERROR(_xludf.XLOOKUP(A65,'03 Bronze Intake'!B$6:B$367,'03 Bronze Intake'!N$6:N$367,""),""),"")</f>
        <v/>
      </c>
      <c r="Q65" t="str">
        <f>IF(A65&lt;&gt;"",IFERROR(_xludf.XLOOKUP(A65,'03 Bronze Intake'!B$6:B$367,'03 Bronze Intake'!O$6:O$367,""),""),"")</f>
        <v/>
      </c>
    </row>
    <row r="66" spans="1:17" x14ac:dyDescent="0.25">
      <c r="A66" t="str">
        <f>IF('04B Silver Field Treatment'!A67&lt;&gt;"",'04B Silver Field Treatment'!A67,"")</f>
        <v/>
      </c>
      <c r="B66" t="str">
        <f>IF(A66&lt;&gt;"",'04B Silver Field Treatment'!B67,"")</f>
        <v/>
      </c>
      <c r="C66" t="str">
        <f>IF(A66&lt;&gt;"",'04B Silver Field Treatment'!D67,"")</f>
        <v/>
      </c>
      <c r="D66" t="str">
        <f>IF(A66&lt;&gt;"",'04B Silver Field Treatment'!X67,"")</f>
        <v/>
      </c>
      <c r="E66" t="str">
        <f>IF(A66&lt;&gt;"",'04B Silver Field Treatment'!Y67,"")</f>
        <v/>
      </c>
      <c r="F66" t="str">
        <f>IF(A66&lt;&gt;"",'04B Silver Field Treatment'!J67,"")</f>
        <v/>
      </c>
      <c r="G66" t="str">
        <f>IF(A66&lt;&gt;"",'04B Silver Field Treatment'!K67,"")</f>
        <v/>
      </c>
      <c r="H66" t="str">
        <f>IF(A66&lt;&gt;"",'04B Silver Field Treatment'!M67,"")</f>
        <v/>
      </c>
      <c r="I66" t="str">
        <f>IF(A66&lt;&gt;"",'04B Silver Field Treatment'!N67,"")</f>
        <v/>
      </c>
      <c r="J66" t="str">
        <f>IF(A66&lt;&gt;"",'04B Silver Field Treatment'!O67,"")</f>
        <v/>
      </c>
      <c r="K66" t="str">
        <f>IF(A66&lt;&gt;"",'04B Silver Field Treatment'!P67,"")</f>
        <v/>
      </c>
      <c r="L66" t="str">
        <f>IF(A66&lt;&gt;"",'04B Silver Field Treatment'!V67,"")</f>
        <v/>
      </c>
      <c r="M66" t="str">
        <f>IF(A66&lt;&gt;"",IFERROR(_xludf.XLOOKUP(A66,'03 Bronze Intake'!B$6:B$367,'03 Bronze Intake'!G$6:G$367,""),""),"")</f>
        <v/>
      </c>
      <c r="N66" t="str">
        <f>IF(A66&lt;&gt;"",IFERROR(_xludf.XLOOKUP(A66,'03 Bronze Intake'!B$6:B$367,'03 Bronze Intake'!H$6:H$367,""),""),"")</f>
        <v/>
      </c>
      <c r="O66" t="str">
        <f>IF(A66&lt;&gt;"",IFERROR(_xludf.XLOOKUP(A66,'03 Bronze Intake'!B$6:B$367,'03 Bronze Intake'!M$6:M$367,""),""),"")</f>
        <v/>
      </c>
      <c r="P66" t="str">
        <f>IF(A66&lt;&gt;"",IFERROR(_xludf.XLOOKUP(A66,'03 Bronze Intake'!B$6:B$367,'03 Bronze Intake'!N$6:N$367,""),""),"")</f>
        <v/>
      </c>
      <c r="Q66" t="str">
        <f>IF(A66&lt;&gt;"",IFERROR(_xludf.XLOOKUP(A66,'03 Bronze Intake'!B$6:B$367,'03 Bronze Intake'!O$6:O$367,""),""),"")</f>
        <v/>
      </c>
    </row>
    <row r="67" spans="1:17" x14ac:dyDescent="0.25">
      <c r="A67" t="str">
        <f>IF('04B Silver Field Treatment'!A68&lt;&gt;"",'04B Silver Field Treatment'!A68,"")</f>
        <v/>
      </c>
      <c r="B67" t="str">
        <f>IF(A67&lt;&gt;"",'04B Silver Field Treatment'!B68,"")</f>
        <v/>
      </c>
      <c r="C67" t="str">
        <f>IF(A67&lt;&gt;"",'04B Silver Field Treatment'!D68,"")</f>
        <v/>
      </c>
      <c r="D67" t="str">
        <f>IF(A67&lt;&gt;"",'04B Silver Field Treatment'!X68,"")</f>
        <v/>
      </c>
      <c r="E67" t="str">
        <f>IF(A67&lt;&gt;"",'04B Silver Field Treatment'!Y68,"")</f>
        <v/>
      </c>
      <c r="F67" t="str">
        <f>IF(A67&lt;&gt;"",'04B Silver Field Treatment'!J68,"")</f>
        <v/>
      </c>
      <c r="G67" t="str">
        <f>IF(A67&lt;&gt;"",'04B Silver Field Treatment'!K68,"")</f>
        <v/>
      </c>
      <c r="H67" t="str">
        <f>IF(A67&lt;&gt;"",'04B Silver Field Treatment'!M68,"")</f>
        <v/>
      </c>
      <c r="I67" t="str">
        <f>IF(A67&lt;&gt;"",'04B Silver Field Treatment'!N68,"")</f>
        <v/>
      </c>
      <c r="J67" t="str">
        <f>IF(A67&lt;&gt;"",'04B Silver Field Treatment'!O68,"")</f>
        <v/>
      </c>
      <c r="K67" t="str">
        <f>IF(A67&lt;&gt;"",'04B Silver Field Treatment'!P68,"")</f>
        <v/>
      </c>
      <c r="L67" t="str">
        <f>IF(A67&lt;&gt;"",'04B Silver Field Treatment'!V68,"")</f>
        <v/>
      </c>
      <c r="M67" t="str">
        <f>IF(A67&lt;&gt;"",IFERROR(_xludf.XLOOKUP(A67,'03 Bronze Intake'!B$6:B$367,'03 Bronze Intake'!G$6:G$367,""),""),"")</f>
        <v/>
      </c>
      <c r="N67" t="str">
        <f>IF(A67&lt;&gt;"",IFERROR(_xludf.XLOOKUP(A67,'03 Bronze Intake'!B$6:B$367,'03 Bronze Intake'!H$6:H$367,""),""),"")</f>
        <v/>
      </c>
      <c r="O67" t="str">
        <f>IF(A67&lt;&gt;"",IFERROR(_xludf.XLOOKUP(A67,'03 Bronze Intake'!B$6:B$367,'03 Bronze Intake'!M$6:M$367,""),""),"")</f>
        <v/>
      </c>
      <c r="P67" t="str">
        <f>IF(A67&lt;&gt;"",IFERROR(_xludf.XLOOKUP(A67,'03 Bronze Intake'!B$6:B$367,'03 Bronze Intake'!N$6:N$367,""),""),"")</f>
        <v/>
      </c>
      <c r="Q67" t="str">
        <f>IF(A67&lt;&gt;"",IFERROR(_xludf.XLOOKUP(A67,'03 Bronze Intake'!B$6:B$367,'03 Bronze Intake'!O$6:O$367,""),""),"")</f>
        <v/>
      </c>
    </row>
    <row r="68" spans="1:17" x14ac:dyDescent="0.25">
      <c r="A68" t="str">
        <f>IF('04B Silver Field Treatment'!A69&lt;&gt;"",'04B Silver Field Treatment'!A69,"")</f>
        <v/>
      </c>
      <c r="B68" t="str">
        <f>IF(A68&lt;&gt;"",'04B Silver Field Treatment'!B69,"")</f>
        <v/>
      </c>
      <c r="C68" t="str">
        <f>IF(A68&lt;&gt;"",'04B Silver Field Treatment'!D69,"")</f>
        <v/>
      </c>
      <c r="D68" t="str">
        <f>IF(A68&lt;&gt;"",'04B Silver Field Treatment'!X69,"")</f>
        <v/>
      </c>
      <c r="E68" t="str">
        <f>IF(A68&lt;&gt;"",'04B Silver Field Treatment'!Y69,"")</f>
        <v/>
      </c>
      <c r="F68" t="str">
        <f>IF(A68&lt;&gt;"",'04B Silver Field Treatment'!J69,"")</f>
        <v/>
      </c>
      <c r="G68" t="str">
        <f>IF(A68&lt;&gt;"",'04B Silver Field Treatment'!K69,"")</f>
        <v/>
      </c>
      <c r="H68" t="str">
        <f>IF(A68&lt;&gt;"",'04B Silver Field Treatment'!M69,"")</f>
        <v/>
      </c>
      <c r="I68" t="str">
        <f>IF(A68&lt;&gt;"",'04B Silver Field Treatment'!N69,"")</f>
        <v/>
      </c>
      <c r="J68" t="str">
        <f>IF(A68&lt;&gt;"",'04B Silver Field Treatment'!O69,"")</f>
        <v/>
      </c>
      <c r="K68" t="str">
        <f>IF(A68&lt;&gt;"",'04B Silver Field Treatment'!P69,"")</f>
        <v/>
      </c>
      <c r="L68" t="str">
        <f>IF(A68&lt;&gt;"",'04B Silver Field Treatment'!V69,"")</f>
        <v/>
      </c>
      <c r="M68" t="str">
        <f>IF(A68&lt;&gt;"",IFERROR(_xludf.XLOOKUP(A68,'03 Bronze Intake'!B$6:B$367,'03 Bronze Intake'!G$6:G$367,""),""),"")</f>
        <v/>
      </c>
      <c r="N68" t="str">
        <f>IF(A68&lt;&gt;"",IFERROR(_xludf.XLOOKUP(A68,'03 Bronze Intake'!B$6:B$367,'03 Bronze Intake'!H$6:H$367,""),""),"")</f>
        <v/>
      </c>
      <c r="O68" t="str">
        <f>IF(A68&lt;&gt;"",IFERROR(_xludf.XLOOKUP(A68,'03 Bronze Intake'!B$6:B$367,'03 Bronze Intake'!M$6:M$367,""),""),"")</f>
        <v/>
      </c>
      <c r="P68" t="str">
        <f>IF(A68&lt;&gt;"",IFERROR(_xludf.XLOOKUP(A68,'03 Bronze Intake'!B$6:B$367,'03 Bronze Intake'!N$6:N$367,""),""),"")</f>
        <v/>
      </c>
      <c r="Q68" t="str">
        <f>IF(A68&lt;&gt;"",IFERROR(_xludf.XLOOKUP(A68,'03 Bronze Intake'!B$6:B$367,'03 Bronze Intake'!O$6:O$367,""),""),"")</f>
        <v/>
      </c>
    </row>
    <row r="69" spans="1:17" x14ac:dyDescent="0.25">
      <c r="A69" t="str">
        <f>IF('04B Silver Field Treatment'!A70&lt;&gt;"",'04B Silver Field Treatment'!A70,"")</f>
        <v/>
      </c>
      <c r="B69" t="str">
        <f>IF(A69&lt;&gt;"",'04B Silver Field Treatment'!B70,"")</f>
        <v/>
      </c>
      <c r="C69" t="str">
        <f>IF(A69&lt;&gt;"",'04B Silver Field Treatment'!D70,"")</f>
        <v/>
      </c>
      <c r="D69" t="str">
        <f>IF(A69&lt;&gt;"",'04B Silver Field Treatment'!X70,"")</f>
        <v/>
      </c>
      <c r="E69" t="str">
        <f>IF(A69&lt;&gt;"",'04B Silver Field Treatment'!Y70,"")</f>
        <v/>
      </c>
      <c r="F69" t="str">
        <f>IF(A69&lt;&gt;"",'04B Silver Field Treatment'!J70,"")</f>
        <v/>
      </c>
      <c r="G69" t="str">
        <f>IF(A69&lt;&gt;"",'04B Silver Field Treatment'!K70,"")</f>
        <v/>
      </c>
      <c r="H69" t="str">
        <f>IF(A69&lt;&gt;"",'04B Silver Field Treatment'!M70,"")</f>
        <v/>
      </c>
      <c r="I69" t="str">
        <f>IF(A69&lt;&gt;"",'04B Silver Field Treatment'!N70,"")</f>
        <v/>
      </c>
      <c r="J69" t="str">
        <f>IF(A69&lt;&gt;"",'04B Silver Field Treatment'!O70,"")</f>
        <v/>
      </c>
      <c r="K69" t="str">
        <f>IF(A69&lt;&gt;"",'04B Silver Field Treatment'!P70,"")</f>
        <v/>
      </c>
      <c r="L69" t="str">
        <f>IF(A69&lt;&gt;"",'04B Silver Field Treatment'!V70,"")</f>
        <v/>
      </c>
      <c r="M69" t="str">
        <f>IF(A69&lt;&gt;"",IFERROR(_xludf.XLOOKUP(A69,'03 Bronze Intake'!B$6:B$367,'03 Bronze Intake'!G$6:G$367,""),""),"")</f>
        <v/>
      </c>
      <c r="N69" t="str">
        <f>IF(A69&lt;&gt;"",IFERROR(_xludf.XLOOKUP(A69,'03 Bronze Intake'!B$6:B$367,'03 Bronze Intake'!H$6:H$367,""),""),"")</f>
        <v/>
      </c>
      <c r="O69" t="str">
        <f>IF(A69&lt;&gt;"",IFERROR(_xludf.XLOOKUP(A69,'03 Bronze Intake'!B$6:B$367,'03 Bronze Intake'!M$6:M$367,""),""),"")</f>
        <v/>
      </c>
      <c r="P69" t="str">
        <f>IF(A69&lt;&gt;"",IFERROR(_xludf.XLOOKUP(A69,'03 Bronze Intake'!B$6:B$367,'03 Bronze Intake'!N$6:N$367,""),""),"")</f>
        <v/>
      </c>
      <c r="Q69" t="str">
        <f>IF(A69&lt;&gt;"",IFERROR(_xludf.XLOOKUP(A69,'03 Bronze Intake'!B$6:B$367,'03 Bronze Intake'!O$6:O$367,""),""),"")</f>
        <v/>
      </c>
    </row>
    <row r="70" spans="1:17" x14ac:dyDescent="0.25">
      <c r="A70" t="str">
        <f>IF('04B Silver Field Treatment'!A71&lt;&gt;"",'04B Silver Field Treatment'!A71,"")</f>
        <v/>
      </c>
      <c r="B70" t="str">
        <f>IF(A70&lt;&gt;"",'04B Silver Field Treatment'!B71,"")</f>
        <v/>
      </c>
      <c r="C70" t="str">
        <f>IF(A70&lt;&gt;"",'04B Silver Field Treatment'!D71,"")</f>
        <v/>
      </c>
      <c r="D70" t="str">
        <f>IF(A70&lt;&gt;"",'04B Silver Field Treatment'!X71,"")</f>
        <v/>
      </c>
      <c r="E70" t="str">
        <f>IF(A70&lt;&gt;"",'04B Silver Field Treatment'!Y71,"")</f>
        <v/>
      </c>
      <c r="F70" t="str">
        <f>IF(A70&lt;&gt;"",'04B Silver Field Treatment'!J71,"")</f>
        <v/>
      </c>
      <c r="G70" t="str">
        <f>IF(A70&lt;&gt;"",'04B Silver Field Treatment'!K71,"")</f>
        <v/>
      </c>
      <c r="H70" t="str">
        <f>IF(A70&lt;&gt;"",'04B Silver Field Treatment'!M71,"")</f>
        <v/>
      </c>
      <c r="I70" t="str">
        <f>IF(A70&lt;&gt;"",'04B Silver Field Treatment'!N71,"")</f>
        <v/>
      </c>
      <c r="J70" t="str">
        <f>IF(A70&lt;&gt;"",'04B Silver Field Treatment'!O71,"")</f>
        <v/>
      </c>
      <c r="K70" t="str">
        <f>IF(A70&lt;&gt;"",'04B Silver Field Treatment'!P71,"")</f>
        <v/>
      </c>
      <c r="L70" t="str">
        <f>IF(A70&lt;&gt;"",'04B Silver Field Treatment'!V71,"")</f>
        <v/>
      </c>
      <c r="M70" t="str">
        <f>IF(A70&lt;&gt;"",IFERROR(_xludf.XLOOKUP(A70,'03 Bronze Intake'!B$6:B$367,'03 Bronze Intake'!G$6:G$367,""),""),"")</f>
        <v/>
      </c>
      <c r="N70" t="str">
        <f>IF(A70&lt;&gt;"",IFERROR(_xludf.XLOOKUP(A70,'03 Bronze Intake'!B$6:B$367,'03 Bronze Intake'!H$6:H$367,""),""),"")</f>
        <v/>
      </c>
      <c r="O70" t="str">
        <f>IF(A70&lt;&gt;"",IFERROR(_xludf.XLOOKUP(A70,'03 Bronze Intake'!B$6:B$367,'03 Bronze Intake'!M$6:M$367,""),""),"")</f>
        <v/>
      </c>
      <c r="P70" t="str">
        <f>IF(A70&lt;&gt;"",IFERROR(_xludf.XLOOKUP(A70,'03 Bronze Intake'!B$6:B$367,'03 Bronze Intake'!N$6:N$367,""),""),"")</f>
        <v/>
      </c>
      <c r="Q70" t="str">
        <f>IF(A70&lt;&gt;"",IFERROR(_xludf.XLOOKUP(A70,'03 Bronze Intake'!B$6:B$367,'03 Bronze Intake'!O$6:O$367,""),""),"")</f>
        <v/>
      </c>
    </row>
    <row r="71" spans="1:17" x14ac:dyDescent="0.25">
      <c r="A71" t="str">
        <f>IF('04B Silver Field Treatment'!A72&lt;&gt;"",'04B Silver Field Treatment'!A72,"")</f>
        <v/>
      </c>
      <c r="B71" t="str">
        <f>IF(A71&lt;&gt;"",'04B Silver Field Treatment'!B72,"")</f>
        <v/>
      </c>
      <c r="C71" t="str">
        <f>IF(A71&lt;&gt;"",'04B Silver Field Treatment'!D72,"")</f>
        <v/>
      </c>
      <c r="D71" t="str">
        <f>IF(A71&lt;&gt;"",'04B Silver Field Treatment'!X72,"")</f>
        <v/>
      </c>
      <c r="E71" t="str">
        <f>IF(A71&lt;&gt;"",'04B Silver Field Treatment'!Y72,"")</f>
        <v/>
      </c>
      <c r="F71" t="str">
        <f>IF(A71&lt;&gt;"",'04B Silver Field Treatment'!J72,"")</f>
        <v/>
      </c>
      <c r="G71" t="str">
        <f>IF(A71&lt;&gt;"",'04B Silver Field Treatment'!K72,"")</f>
        <v/>
      </c>
      <c r="H71" t="str">
        <f>IF(A71&lt;&gt;"",'04B Silver Field Treatment'!M72,"")</f>
        <v/>
      </c>
      <c r="I71" t="str">
        <f>IF(A71&lt;&gt;"",'04B Silver Field Treatment'!N72,"")</f>
        <v/>
      </c>
      <c r="J71" t="str">
        <f>IF(A71&lt;&gt;"",'04B Silver Field Treatment'!O72,"")</f>
        <v/>
      </c>
      <c r="K71" t="str">
        <f>IF(A71&lt;&gt;"",'04B Silver Field Treatment'!P72,"")</f>
        <v/>
      </c>
      <c r="L71" t="str">
        <f>IF(A71&lt;&gt;"",'04B Silver Field Treatment'!V72,"")</f>
        <v/>
      </c>
      <c r="M71" t="str">
        <f>IF(A71&lt;&gt;"",IFERROR(_xludf.XLOOKUP(A71,'03 Bronze Intake'!B$6:B$367,'03 Bronze Intake'!G$6:G$367,""),""),"")</f>
        <v/>
      </c>
      <c r="N71" t="str">
        <f>IF(A71&lt;&gt;"",IFERROR(_xludf.XLOOKUP(A71,'03 Bronze Intake'!B$6:B$367,'03 Bronze Intake'!H$6:H$367,""),""),"")</f>
        <v/>
      </c>
      <c r="O71" t="str">
        <f>IF(A71&lt;&gt;"",IFERROR(_xludf.XLOOKUP(A71,'03 Bronze Intake'!B$6:B$367,'03 Bronze Intake'!M$6:M$367,""),""),"")</f>
        <v/>
      </c>
      <c r="P71" t="str">
        <f>IF(A71&lt;&gt;"",IFERROR(_xludf.XLOOKUP(A71,'03 Bronze Intake'!B$6:B$367,'03 Bronze Intake'!N$6:N$367,""),""),"")</f>
        <v/>
      </c>
      <c r="Q71" t="str">
        <f>IF(A71&lt;&gt;"",IFERROR(_xludf.XLOOKUP(A71,'03 Bronze Intake'!B$6:B$367,'03 Bronze Intake'!O$6:O$367,""),""),"")</f>
        <v/>
      </c>
    </row>
    <row r="72" spans="1:17" x14ac:dyDescent="0.25">
      <c r="A72" t="str">
        <f>IF('04B Silver Field Treatment'!A73&lt;&gt;"",'04B Silver Field Treatment'!A73,"")</f>
        <v/>
      </c>
      <c r="B72" t="str">
        <f>IF(A72&lt;&gt;"",'04B Silver Field Treatment'!B73,"")</f>
        <v/>
      </c>
      <c r="C72" t="str">
        <f>IF(A72&lt;&gt;"",'04B Silver Field Treatment'!D73,"")</f>
        <v/>
      </c>
      <c r="D72" t="str">
        <f>IF(A72&lt;&gt;"",'04B Silver Field Treatment'!X73,"")</f>
        <v/>
      </c>
      <c r="E72" t="str">
        <f>IF(A72&lt;&gt;"",'04B Silver Field Treatment'!Y73,"")</f>
        <v/>
      </c>
      <c r="F72" t="str">
        <f>IF(A72&lt;&gt;"",'04B Silver Field Treatment'!J73,"")</f>
        <v/>
      </c>
      <c r="G72" t="str">
        <f>IF(A72&lt;&gt;"",'04B Silver Field Treatment'!K73,"")</f>
        <v/>
      </c>
      <c r="H72" t="str">
        <f>IF(A72&lt;&gt;"",'04B Silver Field Treatment'!M73,"")</f>
        <v/>
      </c>
      <c r="I72" t="str">
        <f>IF(A72&lt;&gt;"",'04B Silver Field Treatment'!N73,"")</f>
        <v/>
      </c>
      <c r="J72" t="str">
        <f>IF(A72&lt;&gt;"",'04B Silver Field Treatment'!O73,"")</f>
        <v/>
      </c>
      <c r="K72" t="str">
        <f>IF(A72&lt;&gt;"",'04B Silver Field Treatment'!P73,"")</f>
        <v/>
      </c>
      <c r="L72" t="str">
        <f>IF(A72&lt;&gt;"",'04B Silver Field Treatment'!V73,"")</f>
        <v/>
      </c>
      <c r="M72" t="str">
        <f>IF(A72&lt;&gt;"",IFERROR(_xludf.XLOOKUP(A72,'03 Bronze Intake'!B$6:B$367,'03 Bronze Intake'!G$6:G$367,""),""),"")</f>
        <v/>
      </c>
      <c r="N72" t="str">
        <f>IF(A72&lt;&gt;"",IFERROR(_xludf.XLOOKUP(A72,'03 Bronze Intake'!B$6:B$367,'03 Bronze Intake'!H$6:H$367,""),""),"")</f>
        <v/>
      </c>
      <c r="O72" t="str">
        <f>IF(A72&lt;&gt;"",IFERROR(_xludf.XLOOKUP(A72,'03 Bronze Intake'!B$6:B$367,'03 Bronze Intake'!M$6:M$367,""),""),"")</f>
        <v/>
      </c>
      <c r="P72" t="str">
        <f>IF(A72&lt;&gt;"",IFERROR(_xludf.XLOOKUP(A72,'03 Bronze Intake'!B$6:B$367,'03 Bronze Intake'!N$6:N$367,""),""),"")</f>
        <v/>
      </c>
      <c r="Q72" t="str">
        <f>IF(A72&lt;&gt;"",IFERROR(_xludf.XLOOKUP(A72,'03 Bronze Intake'!B$6:B$367,'03 Bronze Intake'!O$6:O$367,""),""),"")</f>
        <v/>
      </c>
    </row>
    <row r="73" spans="1:17" x14ac:dyDescent="0.25">
      <c r="A73" t="str">
        <f>IF('04B Silver Field Treatment'!A74&lt;&gt;"",'04B Silver Field Treatment'!A74,"")</f>
        <v/>
      </c>
      <c r="B73" t="str">
        <f>IF(A73&lt;&gt;"",'04B Silver Field Treatment'!B74,"")</f>
        <v/>
      </c>
      <c r="C73" t="str">
        <f>IF(A73&lt;&gt;"",'04B Silver Field Treatment'!D74,"")</f>
        <v/>
      </c>
      <c r="D73" t="str">
        <f>IF(A73&lt;&gt;"",'04B Silver Field Treatment'!X74,"")</f>
        <v/>
      </c>
      <c r="E73" t="str">
        <f>IF(A73&lt;&gt;"",'04B Silver Field Treatment'!Y74,"")</f>
        <v/>
      </c>
      <c r="F73" t="str">
        <f>IF(A73&lt;&gt;"",'04B Silver Field Treatment'!J74,"")</f>
        <v/>
      </c>
      <c r="G73" t="str">
        <f>IF(A73&lt;&gt;"",'04B Silver Field Treatment'!K74,"")</f>
        <v/>
      </c>
      <c r="H73" t="str">
        <f>IF(A73&lt;&gt;"",'04B Silver Field Treatment'!M74,"")</f>
        <v/>
      </c>
      <c r="I73" t="str">
        <f>IF(A73&lt;&gt;"",'04B Silver Field Treatment'!N74,"")</f>
        <v/>
      </c>
      <c r="J73" t="str">
        <f>IF(A73&lt;&gt;"",'04B Silver Field Treatment'!O74,"")</f>
        <v/>
      </c>
      <c r="K73" t="str">
        <f>IF(A73&lt;&gt;"",'04B Silver Field Treatment'!P74,"")</f>
        <v/>
      </c>
      <c r="L73" t="str">
        <f>IF(A73&lt;&gt;"",'04B Silver Field Treatment'!V74,"")</f>
        <v/>
      </c>
      <c r="M73" t="str">
        <f>IF(A73&lt;&gt;"",IFERROR(_xludf.XLOOKUP(A73,'03 Bronze Intake'!B$6:B$367,'03 Bronze Intake'!G$6:G$367,""),""),"")</f>
        <v/>
      </c>
      <c r="N73" t="str">
        <f>IF(A73&lt;&gt;"",IFERROR(_xludf.XLOOKUP(A73,'03 Bronze Intake'!B$6:B$367,'03 Bronze Intake'!H$6:H$367,""),""),"")</f>
        <v/>
      </c>
      <c r="O73" t="str">
        <f>IF(A73&lt;&gt;"",IFERROR(_xludf.XLOOKUP(A73,'03 Bronze Intake'!B$6:B$367,'03 Bronze Intake'!M$6:M$367,""),""),"")</f>
        <v/>
      </c>
      <c r="P73" t="str">
        <f>IF(A73&lt;&gt;"",IFERROR(_xludf.XLOOKUP(A73,'03 Bronze Intake'!B$6:B$367,'03 Bronze Intake'!N$6:N$367,""),""),"")</f>
        <v/>
      </c>
      <c r="Q73" t="str">
        <f>IF(A73&lt;&gt;"",IFERROR(_xludf.XLOOKUP(A73,'03 Bronze Intake'!B$6:B$367,'03 Bronze Intake'!O$6:O$367,""),""),"")</f>
        <v/>
      </c>
    </row>
    <row r="74" spans="1:17" x14ac:dyDescent="0.25">
      <c r="A74" t="str">
        <f>IF('04B Silver Field Treatment'!A75&lt;&gt;"",'04B Silver Field Treatment'!A75,"")</f>
        <v/>
      </c>
      <c r="B74" t="str">
        <f>IF(A74&lt;&gt;"",'04B Silver Field Treatment'!B75,"")</f>
        <v/>
      </c>
      <c r="C74" t="str">
        <f>IF(A74&lt;&gt;"",'04B Silver Field Treatment'!D75,"")</f>
        <v/>
      </c>
      <c r="D74" t="str">
        <f>IF(A74&lt;&gt;"",'04B Silver Field Treatment'!X75,"")</f>
        <v/>
      </c>
      <c r="E74" t="str">
        <f>IF(A74&lt;&gt;"",'04B Silver Field Treatment'!Y75,"")</f>
        <v/>
      </c>
      <c r="F74" t="str">
        <f>IF(A74&lt;&gt;"",'04B Silver Field Treatment'!J75,"")</f>
        <v/>
      </c>
      <c r="G74" t="str">
        <f>IF(A74&lt;&gt;"",'04B Silver Field Treatment'!K75,"")</f>
        <v/>
      </c>
      <c r="H74" t="str">
        <f>IF(A74&lt;&gt;"",'04B Silver Field Treatment'!M75,"")</f>
        <v/>
      </c>
      <c r="I74" t="str">
        <f>IF(A74&lt;&gt;"",'04B Silver Field Treatment'!N75,"")</f>
        <v/>
      </c>
      <c r="J74" t="str">
        <f>IF(A74&lt;&gt;"",'04B Silver Field Treatment'!O75,"")</f>
        <v/>
      </c>
      <c r="K74" t="str">
        <f>IF(A74&lt;&gt;"",'04B Silver Field Treatment'!P75,"")</f>
        <v/>
      </c>
      <c r="L74" t="str">
        <f>IF(A74&lt;&gt;"",'04B Silver Field Treatment'!V75,"")</f>
        <v/>
      </c>
      <c r="M74" t="str">
        <f>IF(A74&lt;&gt;"",IFERROR(_xludf.XLOOKUP(A74,'03 Bronze Intake'!B$6:B$367,'03 Bronze Intake'!G$6:G$367,""),""),"")</f>
        <v/>
      </c>
      <c r="N74" t="str">
        <f>IF(A74&lt;&gt;"",IFERROR(_xludf.XLOOKUP(A74,'03 Bronze Intake'!B$6:B$367,'03 Bronze Intake'!H$6:H$367,""),""),"")</f>
        <v/>
      </c>
      <c r="O74" t="str">
        <f>IF(A74&lt;&gt;"",IFERROR(_xludf.XLOOKUP(A74,'03 Bronze Intake'!B$6:B$367,'03 Bronze Intake'!M$6:M$367,""),""),"")</f>
        <v/>
      </c>
      <c r="P74" t="str">
        <f>IF(A74&lt;&gt;"",IFERROR(_xludf.XLOOKUP(A74,'03 Bronze Intake'!B$6:B$367,'03 Bronze Intake'!N$6:N$367,""),""),"")</f>
        <v/>
      </c>
      <c r="Q74" t="str">
        <f>IF(A74&lt;&gt;"",IFERROR(_xludf.XLOOKUP(A74,'03 Bronze Intake'!B$6:B$367,'03 Bronze Intake'!O$6:O$367,""),""),"")</f>
        <v/>
      </c>
    </row>
    <row r="75" spans="1:17" x14ac:dyDescent="0.25">
      <c r="A75" t="str">
        <f>IF('04B Silver Field Treatment'!A76&lt;&gt;"",'04B Silver Field Treatment'!A76,"")</f>
        <v/>
      </c>
      <c r="B75" t="str">
        <f>IF(A75&lt;&gt;"",'04B Silver Field Treatment'!B76,"")</f>
        <v/>
      </c>
      <c r="C75" t="str">
        <f>IF(A75&lt;&gt;"",'04B Silver Field Treatment'!D76,"")</f>
        <v/>
      </c>
      <c r="D75" t="str">
        <f>IF(A75&lt;&gt;"",'04B Silver Field Treatment'!X76,"")</f>
        <v/>
      </c>
      <c r="E75" t="str">
        <f>IF(A75&lt;&gt;"",'04B Silver Field Treatment'!Y76,"")</f>
        <v/>
      </c>
      <c r="F75" t="str">
        <f>IF(A75&lt;&gt;"",'04B Silver Field Treatment'!J76,"")</f>
        <v/>
      </c>
      <c r="G75" t="str">
        <f>IF(A75&lt;&gt;"",'04B Silver Field Treatment'!K76,"")</f>
        <v/>
      </c>
      <c r="H75" t="str">
        <f>IF(A75&lt;&gt;"",'04B Silver Field Treatment'!M76,"")</f>
        <v/>
      </c>
      <c r="I75" t="str">
        <f>IF(A75&lt;&gt;"",'04B Silver Field Treatment'!N76,"")</f>
        <v/>
      </c>
      <c r="J75" t="str">
        <f>IF(A75&lt;&gt;"",'04B Silver Field Treatment'!O76,"")</f>
        <v/>
      </c>
      <c r="K75" t="str">
        <f>IF(A75&lt;&gt;"",'04B Silver Field Treatment'!P76,"")</f>
        <v/>
      </c>
      <c r="L75" t="str">
        <f>IF(A75&lt;&gt;"",'04B Silver Field Treatment'!V76,"")</f>
        <v/>
      </c>
      <c r="M75" t="str">
        <f>IF(A75&lt;&gt;"",IFERROR(_xludf.XLOOKUP(A75,'03 Bronze Intake'!B$6:B$367,'03 Bronze Intake'!G$6:G$367,""),""),"")</f>
        <v/>
      </c>
      <c r="N75" t="str">
        <f>IF(A75&lt;&gt;"",IFERROR(_xludf.XLOOKUP(A75,'03 Bronze Intake'!B$6:B$367,'03 Bronze Intake'!H$6:H$367,""),""),"")</f>
        <v/>
      </c>
      <c r="O75" t="str">
        <f>IF(A75&lt;&gt;"",IFERROR(_xludf.XLOOKUP(A75,'03 Bronze Intake'!B$6:B$367,'03 Bronze Intake'!M$6:M$367,""),""),"")</f>
        <v/>
      </c>
      <c r="P75" t="str">
        <f>IF(A75&lt;&gt;"",IFERROR(_xludf.XLOOKUP(A75,'03 Bronze Intake'!B$6:B$367,'03 Bronze Intake'!N$6:N$367,""),""),"")</f>
        <v/>
      </c>
      <c r="Q75" t="str">
        <f>IF(A75&lt;&gt;"",IFERROR(_xludf.XLOOKUP(A75,'03 Bronze Intake'!B$6:B$367,'03 Bronze Intake'!O$6:O$367,""),""),"")</f>
        <v/>
      </c>
    </row>
    <row r="76" spans="1:17" x14ac:dyDescent="0.25">
      <c r="A76" t="str">
        <f>IF('04B Silver Field Treatment'!A77&lt;&gt;"",'04B Silver Field Treatment'!A77,"")</f>
        <v/>
      </c>
      <c r="B76" t="str">
        <f>IF(A76&lt;&gt;"",'04B Silver Field Treatment'!B77,"")</f>
        <v/>
      </c>
      <c r="C76" t="str">
        <f>IF(A76&lt;&gt;"",'04B Silver Field Treatment'!D77,"")</f>
        <v/>
      </c>
      <c r="D76" t="str">
        <f>IF(A76&lt;&gt;"",'04B Silver Field Treatment'!X77,"")</f>
        <v/>
      </c>
      <c r="E76" t="str">
        <f>IF(A76&lt;&gt;"",'04B Silver Field Treatment'!Y77,"")</f>
        <v/>
      </c>
      <c r="F76" t="str">
        <f>IF(A76&lt;&gt;"",'04B Silver Field Treatment'!J77,"")</f>
        <v/>
      </c>
      <c r="G76" t="str">
        <f>IF(A76&lt;&gt;"",'04B Silver Field Treatment'!K77,"")</f>
        <v/>
      </c>
      <c r="H76" t="str">
        <f>IF(A76&lt;&gt;"",'04B Silver Field Treatment'!M77,"")</f>
        <v/>
      </c>
      <c r="I76" t="str">
        <f>IF(A76&lt;&gt;"",'04B Silver Field Treatment'!N77,"")</f>
        <v/>
      </c>
      <c r="J76" t="str">
        <f>IF(A76&lt;&gt;"",'04B Silver Field Treatment'!O77,"")</f>
        <v/>
      </c>
      <c r="K76" t="str">
        <f>IF(A76&lt;&gt;"",'04B Silver Field Treatment'!P77,"")</f>
        <v/>
      </c>
      <c r="L76" t="str">
        <f>IF(A76&lt;&gt;"",'04B Silver Field Treatment'!V77,"")</f>
        <v/>
      </c>
      <c r="M76" t="str">
        <f>IF(A76&lt;&gt;"",IFERROR(_xludf.XLOOKUP(A76,'03 Bronze Intake'!B$6:B$367,'03 Bronze Intake'!G$6:G$367,""),""),"")</f>
        <v/>
      </c>
      <c r="N76" t="str">
        <f>IF(A76&lt;&gt;"",IFERROR(_xludf.XLOOKUP(A76,'03 Bronze Intake'!B$6:B$367,'03 Bronze Intake'!H$6:H$367,""),""),"")</f>
        <v/>
      </c>
      <c r="O76" t="str">
        <f>IF(A76&lt;&gt;"",IFERROR(_xludf.XLOOKUP(A76,'03 Bronze Intake'!B$6:B$367,'03 Bronze Intake'!M$6:M$367,""),""),"")</f>
        <v/>
      </c>
      <c r="P76" t="str">
        <f>IF(A76&lt;&gt;"",IFERROR(_xludf.XLOOKUP(A76,'03 Bronze Intake'!B$6:B$367,'03 Bronze Intake'!N$6:N$367,""),""),"")</f>
        <v/>
      </c>
      <c r="Q76" t="str">
        <f>IF(A76&lt;&gt;"",IFERROR(_xludf.XLOOKUP(A76,'03 Bronze Intake'!B$6:B$367,'03 Bronze Intake'!O$6:O$367,""),""),"")</f>
        <v/>
      </c>
    </row>
    <row r="77" spans="1:17" x14ac:dyDescent="0.25">
      <c r="A77" t="str">
        <f>IF('04B Silver Field Treatment'!A78&lt;&gt;"",'04B Silver Field Treatment'!A78,"")</f>
        <v/>
      </c>
      <c r="B77" t="str">
        <f>IF(A77&lt;&gt;"",'04B Silver Field Treatment'!B78,"")</f>
        <v/>
      </c>
      <c r="C77" t="str">
        <f>IF(A77&lt;&gt;"",'04B Silver Field Treatment'!D78,"")</f>
        <v/>
      </c>
      <c r="D77" t="str">
        <f>IF(A77&lt;&gt;"",'04B Silver Field Treatment'!X78,"")</f>
        <v/>
      </c>
      <c r="E77" t="str">
        <f>IF(A77&lt;&gt;"",'04B Silver Field Treatment'!Y78,"")</f>
        <v/>
      </c>
      <c r="F77" t="str">
        <f>IF(A77&lt;&gt;"",'04B Silver Field Treatment'!J78,"")</f>
        <v/>
      </c>
      <c r="G77" t="str">
        <f>IF(A77&lt;&gt;"",'04B Silver Field Treatment'!K78,"")</f>
        <v/>
      </c>
      <c r="H77" t="str">
        <f>IF(A77&lt;&gt;"",'04B Silver Field Treatment'!M78,"")</f>
        <v/>
      </c>
      <c r="I77" t="str">
        <f>IF(A77&lt;&gt;"",'04B Silver Field Treatment'!N78,"")</f>
        <v/>
      </c>
      <c r="J77" t="str">
        <f>IF(A77&lt;&gt;"",'04B Silver Field Treatment'!O78,"")</f>
        <v/>
      </c>
      <c r="K77" t="str">
        <f>IF(A77&lt;&gt;"",'04B Silver Field Treatment'!P78,"")</f>
        <v/>
      </c>
      <c r="L77" t="str">
        <f>IF(A77&lt;&gt;"",'04B Silver Field Treatment'!V78,"")</f>
        <v/>
      </c>
      <c r="M77" t="str">
        <f>IF(A77&lt;&gt;"",IFERROR(_xludf.XLOOKUP(A77,'03 Bronze Intake'!B$6:B$367,'03 Bronze Intake'!G$6:G$367,""),""),"")</f>
        <v/>
      </c>
      <c r="N77" t="str">
        <f>IF(A77&lt;&gt;"",IFERROR(_xludf.XLOOKUP(A77,'03 Bronze Intake'!B$6:B$367,'03 Bronze Intake'!H$6:H$367,""),""),"")</f>
        <v/>
      </c>
      <c r="O77" t="str">
        <f>IF(A77&lt;&gt;"",IFERROR(_xludf.XLOOKUP(A77,'03 Bronze Intake'!B$6:B$367,'03 Bronze Intake'!M$6:M$367,""),""),"")</f>
        <v/>
      </c>
      <c r="P77" t="str">
        <f>IF(A77&lt;&gt;"",IFERROR(_xludf.XLOOKUP(A77,'03 Bronze Intake'!B$6:B$367,'03 Bronze Intake'!N$6:N$367,""),""),"")</f>
        <v/>
      </c>
      <c r="Q77" t="str">
        <f>IF(A77&lt;&gt;"",IFERROR(_xludf.XLOOKUP(A77,'03 Bronze Intake'!B$6:B$367,'03 Bronze Intake'!O$6:O$367,""),""),"")</f>
        <v/>
      </c>
    </row>
    <row r="78" spans="1:17" x14ac:dyDescent="0.25">
      <c r="A78" t="str">
        <f>IF('04B Silver Field Treatment'!A79&lt;&gt;"",'04B Silver Field Treatment'!A79,"")</f>
        <v/>
      </c>
      <c r="B78" t="str">
        <f>IF(A78&lt;&gt;"",'04B Silver Field Treatment'!B79,"")</f>
        <v/>
      </c>
      <c r="C78" t="str">
        <f>IF(A78&lt;&gt;"",'04B Silver Field Treatment'!D79,"")</f>
        <v/>
      </c>
      <c r="D78" t="str">
        <f>IF(A78&lt;&gt;"",'04B Silver Field Treatment'!X79,"")</f>
        <v/>
      </c>
      <c r="E78" t="str">
        <f>IF(A78&lt;&gt;"",'04B Silver Field Treatment'!Y79,"")</f>
        <v/>
      </c>
      <c r="F78" t="str">
        <f>IF(A78&lt;&gt;"",'04B Silver Field Treatment'!J79,"")</f>
        <v/>
      </c>
      <c r="G78" t="str">
        <f>IF(A78&lt;&gt;"",'04B Silver Field Treatment'!K79,"")</f>
        <v/>
      </c>
      <c r="H78" t="str">
        <f>IF(A78&lt;&gt;"",'04B Silver Field Treatment'!M79,"")</f>
        <v/>
      </c>
      <c r="I78" t="str">
        <f>IF(A78&lt;&gt;"",'04B Silver Field Treatment'!N79,"")</f>
        <v/>
      </c>
      <c r="J78" t="str">
        <f>IF(A78&lt;&gt;"",'04B Silver Field Treatment'!O79,"")</f>
        <v/>
      </c>
      <c r="K78" t="str">
        <f>IF(A78&lt;&gt;"",'04B Silver Field Treatment'!P79,"")</f>
        <v/>
      </c>
      <c r="L78" t="str">
        <f>IF(A78&lt;&gt;"",'04B Silver Field Treatment'!V79,"")</f>
        <v/>
      </c>
      <c r="M78" t="str">
        <f>IF(A78&lt;&gt;"",IFERROR(_xludf.XLOOKUP(A78,'03 Bronze Intake'!B$6:B$367,'03 Bronze Intake'!G$6:G$367,""),""),"")</f>
        <v/>
      </c>
      <c r="N78" t="str">
        <f>IF(A78&lt;&gt;"",IFERROR(_xludf.XLOOKUP(A78,'03 Bronze Intake'!B$6:B$367,'03 Bronze Intake'!H$6:H$367,""),""),"")</f>
        <v/>
      </c>
      <c r="O78" t="str">
        <f>IF(A78&lt;&gt;"",IFERROR(_xludf.XLOOKUP(A78,'03 Bronze Intake'!B$6:B$367,'03 Bronze Intake'!M$6:M$367,""),""),"")</f>
        <v/>
      </c>
      <c r="P78" t="str">
        <f>IF(A78&lt;&gt;"",IFERROR(_xludf.XLOOKUP(A78,'03 Bronze Intake'!B$6:B$367,'03 Bronze Intake'!N$6:N$367,""),""),"")</f>
        <v/>
      </c>
      <c r="Q78" t="str">
        <f>IF(A78&lt;&gt;"",IFERROR(_xludf.XLOOKUP(A78,'03 Bronze Intake'!B$6:B$367,'03 Bronze Intake'!O$6:O$367,""),""),"")</f>
        <v/>
      </c>
    </row>
    <row r="79" spans="1:17" x14ac:dyDescent="0.25">
      <c r="A79" t="str">
        <f>IF('04B Silver Field Treatment'!A80&lt;&gt;"",'04B Silver Field Treatment'!A80,"")</f>
        <v/>
      </c>
      <c r="B79" t="str">
        <f>IF(A79&lt;&gt;"",'04B Silver Field Treatment'!B80,"")</f>
        <v/>
      </c>
      <c r="C79" t="str">
        <f>IF(A79&lt;&gt;"",'04B Silver Field Treatment'!D80,"")</f>
        <v/>
      </c>
      <c r="D79" t="str">
        <f>IF(A79&lt;&gt;"",'04B Silver Field Treatment'!X80,"")</f>
        <v/>
      </c>
      <c r="E79" t="str">
        <f>IF(A79&lt;&gt;"",'04B Silver Field Treatment'!Y80,"")</f>
        <v/>
      </c>
      <c r="F79" t="str">
        <f>IF(A79&lt;&gt;"",'04B Silver Field Treatment'!J80,"")</f>
        <v/>
      </c>
      <c r="G79" t="str">
        <f>IF(A79&lt;&gt;"",'04B Silver Field Treatment'!K80,"")</f>
        <v/>
      </c>
      <c r="H79" t="str">
        <f>IF(A79&lt;&gt;"",'04B Silver Field Treatment'!M80,"")</f>
        <v/>
      </c>
      <c r="I79" t="str">
        <f>IF(A79&lt;&gt;"",'04B Silver Field Treatment'!N80,"")</f>
        <v/>
      </c>
      <c r="J79" t="str">
        <f>IF(A79&lt;&gt;"",'04B Silver Field Treatment'!O80,"")</f>
        <v/>
      </c>
      <c r="K79" t="str">
        <f>IF(A79&lt;&gt;"",'04B Silver Field Treatment'!P80,"")</f>
        <v/>
      </c>
      <c r="L79" t="str">
        <f>IF(A79&lt;&gt;"",'04B Silver Field Treatment'!V80,"")</f>
        <v/>
      </c>
      <c r="M79" t="str">
        <f>IF(A79&lt;&gt;"",IFERROR(_xludf.XLOOKUP(A79,'03 Bronze Intake'!B$6:B$367,'03 Bronze Intake'!G$6:G$367,""),""),"")</f>
        <v/>
      </c>
      <c r="N79" t="str">
        <f>IF(A79&lt;&gt;"",IFERROR(_xludf.XLOOKUP(A79,'03 Bronze Intake'!B$6:B$367,'03 Bronze Intake'!H$6:H$367,""),""),"")</f>
        <v/>
      </c>
      <c r="O79" t="str">
        <f>IF(A79&lt;&gt;"",IFERROR(_xludf.XLOOKUP(A79,'03 Bronze Intake'!B$6:B$367,'03 Bronze Intake'!M$6:M$367,""),""),"")</f>
        <v/>
      </c>
      <c r="P79" t="str">
        <f>IF(A79&lt;&gt;"",IFERROR(_xludf.XLOOKUP(A79,'03 Bronze Intake'!B$6:B$367,'03 Bronze Intake'!N$6:N$367,""),""),"")</f>
        <v/>
      </c>
      <c r="Q79" t="str">
        <f>IF(A79&lt;&gt;"",IFERROR(_xludf.XLOOKUP(A79,'03 Bronze Intake'!B$6:B$367,'03 Bronze Intake'!O$6:O$367,""),""),"")</f>
        <v/>
      </c>
    </row>
    <row r="80" spans="1:17" x14ac:dyDescent="0.25">
      <c r="A80" t="str">
        <f>IF('04B Silver Field Treatment'!A81&lt;&gt;"",'04B Silver Field Treatment'!A81,"")</f>
        <v/>
      </c>
      <c r="B80" t="str">
        <f>IF(A80&lt;&gt;"",'04B Silver Field Treatment'!B81,"")</f>
        <v/>
      </c>
      <c r="C80" t="str">
        <f>IF(A80&lt;&gt;"",'04B Silver Field Treatment'!D81,"")</f>
        <v/>
      </c>
      <c r="D80" t="str">
        <f>IF(A80&lt;&gt;"",'04B Silver Field Treatment'!X81,"")</f>
        <v/>
      </c>
      <c r="E80" t="str">
        <f>IF(A80&lt;&gt;"",'04B Silver Field Treatment'!Y81,"")</f>
        <v/>
      </c>
      <c r="F80" t="str">
        <f>IF(A80&lt;&gt;"",'04B Silver Field Treatment'!J81,"")</f>
        <v/>
      </c>
      <c r="G80" t="str">
        <f>IF(A80&lt;&gt;"",'04B Silver Field Treatment'!K81,"")</f>
        <v/>
      </c>
      <c r="H80" t="str">
        <f>IF(A80&lt;&gt;"",'04B Silver Field Treatment'!M81,"")</f>
        <v/>
      </c>
      <c r="I80" t="str">
        <f>IF(A80&lt;&gt;"",'04B Silver Field Treatment'!N81,"")</f>
        <v/>
      </c>
      <c r="J80" t="str">
        <f>IF(A80&lt;&gt;"",'04B Silver Field Treatment'!O81,"")</f>
        <v/>
      </c>
      <c r="K80" t="str">
        <f>IF(A80&lt;&gt;"",'04B Silver Field Treatment'!P81,"")</f>
        <v/>
      </c>
      <c r="L80" t="str">
        <f>IF(A80&lt;&gt;"",'04B Silver Field Treatment'!V81,"")</f>
        <v/>
      </c>
      <c r="M80" t="str">
        <f>IF(A80&lt;&gt;"",IFERROR(_xludf.XLOOKUP(A80,'03 Bronze Intake'!B$6:B$367,'03 Bronze Intake'!G$6:G$367,""),""),"")</f>
        <v/>
      </c>
      <c r="N80" t="str">
        <f>IF(A80&lt;&gt;"",IFERROR(_xludf.XLOOKUP(A80,'03 Bronze Intake'!B$6:B$367,'03 Bronze Intake'!H$6:H$367,""),""),"")</f>
        <v/>
      </c>
      <c r="O80" t="str">
        <f>IF(A80&lt;&gt;"",IFERROR(_xludf.XLOOKUP(A80,'03 Bronze Intake'!B$6:B$367,'03 Bronze Intake'!M$6:M$367,""),""),"")</f>
        <v/>
      </c>
      <c r="P80" t="str">
        <f>IF(A80&lt;&gt;"",IFERROR(_xludf.XLOOKUP(A80,'03 Bronze Intake'!B$6:B$367,'03 Bronze Intake'!N$6:N$367,""),""),"")</f>
        <v/>
      </c>
      <c r="Q80" t="str">
        <f>IF(A80&lt;&gt;"",IFERROR(_xludf.XLOOKUP(A80,'03 Bronze Intake'!B$6:B$367,'03 Bronze Intake'!O$6:O$367,""),""),"")</f>
        <v/>
      </c>
    </row>
    <row r="81" spans="1:17" x14ac:dyDescent="0.25">
      <c r="A81" t="str">
        <f>IF('04B Silver Field Treatment'!A82&lt;&gt;"",'04B Silver Field Treatment'!A82,"")</f>
        <v/>
      </c>
      <c r="B81" t="str">
        <f>IF(A81&lt;&gt;"",'04B Silver Field Treatment'!B82,"")</f>
        <v/>
      </c>
      <c r="C81" t="str">
        <f>IF(A81&lt;&gt;"",'04B Silver Field Treatment'!D82,"")</f>
        <v/>
      </c>
      <c r="D81" t="str">
        <f>IF(A81&lt;&gt;"",'04B Silver Field Treatment'!X82,"")</f>
        <v/>
      </c>
      <c r="E81" t="str">
        <f>IF(A81&lt;&gt;"",'04B Silver Field Treatment'!Y82,"")</f>
        <v/>
      </c>
      <c r="F81" t="str">
        <f>IF(A81&lt;&gt;"",'04B Silver Field Treatment'!J82,"")</f>
        <v/>
      </c>
      <c r="G81" t="str">
        <f>IF(A81&lt;&gt;"",'04B Silver Field Treatment'!K82,"")</f>
        <v/>
      </c>
      <c r="H81" t="str">
        <f>IF(A81&lt;&gt;"",'04B Silver Field Treatment'!M82,"")</f>
        <v/>
      </c>
      <c r="I81" t="str">
        <f>IF(A81&lt;&gt;"",'04B Silver Field Treatment'!N82,"")</f>
        <v/>
      </c>
      <c r="J81" t="str">
        <f>IF(A81&lt;&gt;"",'04B Silver Field Treatment'!O82,"")</f>
        <v/>
      </c>
      <c r="K81" t="str">
        <f>IF(A81&lt;&gt;"",'04B Silver Field Treatment'!P82,"")</f>
        <v/>
      </c>
      <c r="L81" t="str">
        <f>IF(A81&lt;&gt;"",'04B Silver Field Treatment'!V82,"")</f>
        <v/>
      </c>
      <c r="M81" t="str">
        <f>IF(A81&lt;&gt;"",IFERROR(_xludf.XLOOKUP(A81,'03 Bronze Intake'!B$6:B$367,'03 Bronze Intake'!G$6:G$367,""),""),"")</f>
        <v/>
      </c>
      <c r="N81" t="str">
        <f>IF(A81&lt;&gt;"",IFERROR(_xludf.XLOOKUP(A81,'03 Bronze Intake'!B$6:B$367,'03 Bronze Intake'!H$6:H$367,""),""),"")</f>
        <v/>
      </c>
      <c r="O81" t="str">
        <f>IF(A81&lt;&gt;"",IFERROR(_xludf.XLOOKUP(A81,'03 Bronze Intake'!B$6:B$367,'03 Bronze Intake'!M$6:M$367,""),""),"")</f>
        <v/>
      </c>
      <c r="P81" t="str">
        <f>IF(A81&lt;&gt;"",IFERROR(_xludf.XLOOKUP(A81,'03 Bronze Intake'!B$6:B$367,'03 Bronze Intake'!N$6:N$367,""),""),"")</f>
        <v/>
      </c>
      <c r="Q81" t="str">
        <f>IF(A81&lt;&gt;"",IFERROR(_xludf.XLOOKUP(A81,'03 Bronze Intake'!B$6:B$367,'03 Bronze Intake'!O$6:O$367,""),""),"")</f>
        <v/>
      </c>
    </row>
    <row r="82" spans="1:17" x14ac:dyDescent="0.25">
      <c r="A82" t="str">
        <f>IF('04B Silver Field Treatment'!A83&lt;&gt;"",'04B Silver Field Treatment'!A83,"")</f>
        <v/>
      </c>
      <c r="B82" t="str">
        <f>IF(A82&lt;&gt;"",'04B Silver Field Treatment'!B83,"")</f>
        <v/>
      </c>
      <c r="C82" t="str">
        <f>IF(A82&lt;&gt;"",'04B Silver Field Treatment'!D83,"")</f>
        <v/>
      </c>
      <c r="D82" t="str">
        <f>IF(A82&lt;&gt;"",'04B Silver Field Treatment'!X83,"")</f>
        <v/>
      </c>
      <c r="E82" t="str">
        <f>IF(A82&lt;&gt;"",'04B Silver Field Treatment'!Y83,"")</f>
        <v/>
      </c>
      <c r="F82" t="str">
        <f>IF(A82&lt;&gt;"",'04B Silver Field Treatment'!J83,"")</f>
        <v/>
      </c>
      <c r="G82" t="str">
        <f>IF(A82&lt;&gt;"",'04B Silver Field Treatment'!K83,"")</f>
        <v/>
      </c>
      <c r="H82" t="str">
        <f>IF(A82&lt;&gt;"",'04B Silver Field Treatment'!M83,"")</f>
        <v/>
      </c>
      <c r="I82" t="str">
        <f>IF(A82&lt;&gt;"",'04B Silver Field Treatment'!N83,"")</f>
        <v/>
      </c>
      <c r="J82" t="str">
        <f>IF(A82&lt;&gt;"",'04B Silver Field Treatment'!O83,"")</f>
        <v/>
      </c>
      <c r="K82" t="str">
        <f>IF(A82&lt;&gt;"",'04B Silver Field Treatment'!P83,"")</f>
        <v/>
      </c>
      <c r="L82" t="str">
        <f>IF(A82&lt;&gt;"",'04B Silver Field Treatment'!V83,"")</f>
        <v/>
      </c>
      <c r="M82" t="str">
        <f>IF(A82&lt;&gt;"",IFERROR(_xludf.XLOOKUP(A82,'03 Bronze Intake'!B$6:B$367,'03 Bronze Intake'!G$6:G$367,""),""),"")</f>
        <v/>
      </c>
      <c r="N82" t="str">
        <f>IF(A82&lt;&gt;"",IFERROR(_xludf.XLOOKUP(A82,'03 Bronze Intake'!B$6:B$367,'03 Bronze Intake'!H$6:H$367,""),""),"")</f>
        <v/>
      </c>
      <c r="O82" t="str">
        <f>IF(A82&lt;&gt;"",IFERROR(_xludf.XLOOKUP(A82,'03 Bronze Intake'!B$6:B$367,'03 Bronze Intake'!M$6:M$367,""),""),"")</f>
        <v/>
      </c>
      <c r="P82" t="str">
        <f>IF(A82&lt;&gt;"",IFERROR(_xludf.XLOOKUP(A82,'03 Bronze Intake'!B$6:B$367,'03 Bronze Intake'!N$6:N$367,""),""),"")</f>
        <v/>
      </c>
      <c r="Q82" t="str">
        <f>IF(A82&lt;&gt;"",IFERROR(_xludf.XLOOKUP(A82,'03 Bronze Intake'!B$6:B$367,'03 Bronze Intake'!O$6:O$367,""),""),"")</f>
        <v/>
      </c>
    </row>
    <row r="83" spans="1:17" x14ac:dyDescent="0.25">
      <c r="A83" t="str">
        <f>IF('04B Silver Field Treatment'!A84&lt;&gt;"",'04B Silver Field Treatment'!A84,"")</f>
        <v/>
      </c>
      <c r="B83" t="str">
        <f>IF(A83&lt;&gt;"",'04B Silver Field Treatment'!B84,"")</f>
        <v/>
      </c>
      <c r="C83" t="str">
        <f>IF(A83&lt;&gt;"",'04B Silver Field Treatment'!D84,"")</f>
        <v/>
      </c>
      <c r="D83" t="str">
        <f>IF(A83&lt;&gt;"",'04B Silver Field Treatment'!X84,"")</f>
        <v/>
      </c>
      <c r="E83" t="str">
        <f>IF(A83&lt;&gt;"",'04B Silver Field Treatment'!Y84,"")</f>
        <v/>
      </c>
      <c r="F83" t="str">
        <f>IF(A83&lt;&gt;"",'04B Silver Field Treatment'!J84,"")</f>
        <v/>
      </c>
      <c r="G83" t="str">
        <f>IF(A83&lt;&gt;"",'04B Silver Field Treatment'!K84,"")</f>
        <v/>
      </c>
      <c r="H83" t="str">
        <f>IF(A83&lt;&gt;"",'04B Silver Field Treatment'!M84,"")</f>
        <v/>
      </c>
      <c r="I83" t="str">
        <f>IF(A83&lt;&gt;"",'04B Silver Field Treatment'!N84,"")</f>
        <v/>
      </c>
      <c r="J83" t="str">
        <f>IF(A83&lt;&gt;"",'04B Silver Field Treatment'!O84,"")</f>
        <v/>
      </c>
      <c r="K83" t="str">
        <f>IF(A83&lt;&gt;"",'04B Silver Field Treatment'!P84,"")</f>
        <v/>
      </c>
      <c r="L83" t="str">
        <f>IF(A83&lt;&gt;"",'04B Silver Field Treatment'!V84,"")</f>
        <v/>
      </c>
      <c r="M83" t="str">
        <f>IF(A83&lt;&gt;"",IFERROR(_xludf.XLOOKUP(A83,'03 Bronze Intake'!B$6:B$367,'03 Bronze Intake'!G$6:G$367,""),""),"")</f>
        <v/>
      </c>
      <c r="N83" t="str">
        <f>IF(A83&lt;&gt;"",IFERROR(_xludf.XLOOKUP(A83,'03 Bronze Intake'!B$6:B$367,'03 Bronze Intake'!H$6:H$367,""),""),"")</f>
        <v/>
      </c>
      <c r="O83" t="str">
        <f>IF(A83&lt;&gt;"",IFERROR(_xludf.XLOOKUP(A83,'03 Bronze Intake'!B$6:B$367,'03 Bronze Intake'!M$6:M$367,""),""),"")</f>
        <v/>
      </c>
      <c r="P83" t="str">
        <f>IF(A83&lt;&gt;"",IFERROR(_xludf.XLOOKUP(A83,'03 Bronze Intake'!B$6:B$367,'03 Bronze Intake'!N$6:N$367,""),""),"")</f>
        <v/>
      </c>
      <c r="Q83" t="str">
        <f>IF(A83&lt;&gt;"",IFERROR(_xludf.XLOOKUP(A83,'03 Bronze Intake'!B$6:B$367,'03 Bronze Intake'!O$6:O$367,""),""),"")</f>
        <v/>
      </c>
    </row>
    <row r="84" spans="1:17" x14ac:dyDescent="0.25">
      <c r="A84" t="str">
        <f>IF('04B Silver Field Treatment'!A85&lt;&gt;"",'04B Silver Field Treatment'!A85,"")</f>
        <v/>
      </c>
      <c r="B84" t="str">
        <f>IF(A84&lt;&gt;"",'04B Silver Field Treatment'!B85,"")</f>
        <v/>
      </c>
      <c r="C84" t="str">
        <f>IF(A84&lt;&gt;"",'04B Silver Field Treatment'!D85,"")</f>
        <v/>
      </c>
      <c r="D84" t="str">
        <f>IF(A84&lt;&gt;"",'04B Silver Field Treatment'!X85,"")</f>
        <v/>
      </c>
      <c r="E84" t="str">
        <f>IF(A84&lt;&gt;"",'04B Silver Field Treatment'!Y85,"")</f>
        <v/>
      </c>
      <c r="F84" t="str">
        <f>IF(A84&lt;&gt;"",'04B Silver Field Treatment'!J85,"")</f>
        <v/>
      </c>
      <c r="G84" t="str">
        <f>IF(A84&lt;&gt;"",'04B Silver Field Treatment'!K85,"")</f>
        <v/>
      </c>
      <c r="H84" t="str">
        <f>IF(A84&lt;&gt;"",'04B Silver Field Treatment'!M85,"")</f>
        <v/>
      </c>
      <c r="I84" t="str">
        <f>IF(A84&lt;&gt;"",'04B Silver Field Treatment'!N85,"")</f>
        <v/>
      </c>
      <c r="J84" t="str">
        <f>IF(A84&lt;&gt;"",'04B Silver Field Treatment'!O85,"")</f>
        <v/>
      </c>
      <c r="K84" t="str">
        <f>IF(A84&lt;&gt;"",'04B Silver Field Treatment'!P85,"")</f>
        <v/>
      </c>
      <c r="L84" t="str">
        <f>IF(A84&lt;&gt;"",'04B Silver Field Treatment'!V85,"")</f>
        <v/>
      </c>
      <c r="M84" t="str">
        <f>IF(A84&lt;&gt;"",IFERROR(_xludf.XLOOKUP(A84,'03 Bronze Intake'!B$6:B$367,'03 Bronze Intake'!G$6:G$367,""),""),"")</f>
        <v/>
      </c>
      <c r="N84" t="str">
        <f>IF(A84&lt;&gt;"",IFERROR(_xludf.XLOOKUP(A84,'03 Bronze Intake'!B$6:B$367,'03 Bronze Intake'!H$6:H$367,""),""),"")</f>
        <v/>
      </c>
      <c r="O84" t="str">
        <f>IF(A84&lt;&gt;"",IFERROR(_xludf.XLOOKUP(A84,'03 Bronze Intake'!B$6:B$367,'03 Bronze Intake'!M$6:M$367,""),""),"")</f>
        <v/>
      </c>
      <c r="P84" t="str">
        <f>IF(A84&lt;&gt;"",IFERROR(_xludf.XLOOKUP(A84,'03 Bronze Intake'!B$6:B$367,'03 Bronze Intake'!N$6:N$367,""),""),"")</f>
        <v/>
      </c>
      <c r="Q84" t="str">
        <f>IF(A84&lt;&gt;"",IFERROR(_xludf.XLOOKUP(A84,'03 Bronze Intake'!B$6:B$367,'03 Bronze Intake'!O$6:O$367,""),""),"")</f>
        <v/>
      </c>
    </row>
    <row r="85" spans="1:17" x14ac:dyDescent="0.25">
      <c r="A85" t="str">
        <f>IF('04B Silver Field Treatment'!A86&lt;&gt;"",'04B Silver Field Treatment'!A86,"")</f>
        <v/>
      </c>
      <c r="B85" t="str">
        <f>IF(A85&lt;&gt;"",'04B Silver Field Treatment'!B86,"")</f>
        <v/>
      </c>
      <c r="C85" t="str">
        <f>IF(A85&lt;&gt;"",'04B Silver Field Treatment'!D86,"")</f>
        <v/>
      </c>
      <c r="D85" t="str">
        <f>IF(A85&lt;&gt;"",'04B Silver Field Treatment'!X86,"")</f>
        <v/>
      </c>
      <c r="E85" t="str">
        <f>IF(A85&lt;&gt;"",'04B Silver Field Treatment'!Y86,"")</f>
        <v/>
      </c>
      <c r="F85" t="str">
        <f>IF(A85&lt;&gt;"",'04B Silver Field Treatment'!J86,"")</f>
        <v/>
      </c>
      <c r="G85" t="str">
        <f>IF(A85&lt;&gt;"",'04B Silver Field Treatment'!K86,"")</f>
        <v/>
      </c>
      <c r="H85" t="str">
        <f>IF(A85&lt;&gt;"",'04B Silver Field Treatment'!M86,"")</f>
        <v/>
      </c>
      <c r="I85" t="str">
        <f>IF(A85&lt;&gt;"",'04B Silver Field Treatment'!N86,"")</f>
        <v/>
      </c>
      <c r="J85" t="str">
        <f>IF(A85&lt;&gt;"",'04B Silver Field Treatment'!O86,"")</f>
        <v/>
      </c>
      <c r="K85" t="str">
        <f>IF(A85&lt;&gt;"",'04B Silver Field Treatment'!P86,"")</f>
        <v/>
      </c>
      <c r="L85" t="str">
        <f>IF(A85&lt;&gt;"",'04B Silver Field Treatment'!V86,"")</f>
        <v/>
      </c>
      <c r="M85" t="str">
        <f>IF(A85&lt;&gt;"",IFERROR(_xludf.XLOOKUP(A85,'03 Bronze Intake'!B$6:B$367,'03 Bronze Intake'!G$6:G$367,""),""),"")</f>
        <v/>
      </c>
      <c r="N85" t="str">
        <f>IF(A85&lt;&gt;"",IFERROR(_xludf.XLOOKUP(A85,'03 Bronze Intake'!B$6:B$367,'03 Bronze Intake'!H$6:H$367,""),""),"")</f>
        <v/>
      </c>
      <c r="O85" t="str">
        <f>IF(A85&lt;&gt;"",IFERROR(_xludf.XLOOKUP(A85,'03 Bronze Intake'!B$6:B$367,'03 Bronze Intake'!M$6:M$367,""),""),"")</f>
        <v/>
      </c>
      <c r="P85" t="str">
        <f>IF(A85&lt;&gt;"",IFERROR(_xludf.XLOOKUP(A85,'03 Bronze Intake'!B$6:B$367,'03 Bronze Intake'!N$6:N$367,""),""),"")</f>
        <v/>
      </c>
      <c r="Q85" t="str">
        <f>IF(A85&lt;&gt;"",IFERROR(_xludf.XLOOKUP(A85,'03 Bronze Intake'!B$6:B$367,'03 Bronze Intake'!O$6:O$367,""),""),"")</f>
        <v/>
      </c>
    </row>
    <row r="86" spans="1:17" x14ac:dyDescent="0.25">
      <c r="A86" t="str">
        <f>IF('04B Silver Field Treatment'!A87&lt;&gt;"",'04B Silver Field Treatment'!A87,"")</f>
        <v/>
      </c>
      <c r="B86" t="str">
        <f>IF(A86&lt;&gt;"",'04B Silver Field Treatment'!B87,"")</f>
        <v/>
      </c>
      <c r="C86" t="str">
        <f>IF(A86&lt;&gt;"",'04B Silver Field Treatment'!D87,"")</f>
        <v/>
      </c>
      <c r="D86" t="str">
        <f>IF(A86&lt;&gt;"",'04B Silver Field Treatment'!X87,"")</f>
        <v/>
      </c>
      <c r="E86" t="str">
        <f>IF(A86&lt;&gt;"",'04B Silver Field Treatment'!Y87,"")</f>
        <v/>
      </c>
      <c r="F86" t="str">
        <f>IF(A86&lt;&gt;"",'04B Silver Field Treatment'!J87,"")</f>
        <v/>
      </c>
      <c r="G86" t="str">
        <f>IF(A86&lt;&gt;"",'04B Silver Field Treatment'!K87,"")</f>
        <v/>
      </c>
      <c r="H86" t="str">
        <f>IF(A86&lt;&gt;"",'04B Silver Field Treatment'!M87,"")</f>
        <v/>
      </c>
      <c r="I86" t="str">
        <f>IF(A86&lt;&gt;"",'04B Silver Field Treatment'!N87,"")</f>
        <v/>
      </c>
      <c r="J86" t="str">
        <f>IF(A86&lt;&gt;"",'04B Silver Field Treatment'!O87,"")</f>
        <v/>
      </c>
      <c r="K86" t="str">
        <f>IF(A86&lt;&gt;"",'04B Silver Field Treatment'!P87,"")</f>
        <v/>
      </c>
      <c r="L86" t="str">
        <f>IF(A86&lt;&gt;"",'04B Silver Field Treatment'!V87,"")</f>
        <v/>
      </c>
      <c r="M86" t="str">
        <f>IF(A86&lt;&gt;"",IFERROR(_xludf.XLOOKUP(A86,'03 Bronze Intake'!B$6:B$367,'03 Bronze Intake'!G$6:G$367,""),""),"")</f>
        <v/>
      </c>
      <c r="N86" t="str">
        <f>IF(A86&lt;&gt;"",IFERROR(_xludf.XLOOKUP(A86,'03 Bronze Intake'!B$6:B$367,'03 Bronze Intake'!H$6:H$367,""),""),"")</f>
        <v/>
      </c>
      <c r="O86" t="str">
        <f>IF(A86&lt;&gt;"",IFERROR(_xludf.XLOOKUP(A86,'03 Bronze Intake'!B$6:B$367,'03 Bronze Intake'!M$6:M$367,""),""),"")</f>
        <v/>
      </c>
      <c r="P86" t="str">
        <f>IF(A86&lt;&gt;"",IFERROR(_xludf.XLOOKUP(A86,'03 Bronze Intake'!B$6:B$367,'03 Bronze Intake'!N$6:N$367,""),""),"")</f>
        <v/>
      </c>
      <c r="Q86" t="str">
        <f>IF(A86&lt;&gt;"",IFERROR(_xludf.XLOOKUP(A86,'03 Bronze Intake'!B$6:B$367,'03 Bronze Intake'!O$6:O$367,""),""),"")</f>
        <v/>
      </c>
    </row>
    <row r="87" spans="1:17" x14ac:dyDescent="0.25">
      <c r="A87" t="str">
        <f>IF('04B Silver Field Treatment'!A88&lt;&gt;"",'04B Silver Field Treatment'!A88,"")</f>
        <v/>
      </c>
      <c r="B87" t="str">
        <f>IF(A87&lt;&gt;"",'04B Silver Field Treatment'!B88,"")</f>
        <v/>
      </c>
      <c r="C87" t="str">
        <f>IF(A87&lt;&gt;"",'04B Silver Field Treatment'!D88,"")</f>
        <v/>
      </c>
      <c r="D87" t="str">
        <f>IF(A87&lt;&gt;"",'04B Silver Field Treatment'!X88,"")</f>
        <v/>
      </c>
      <c r="E87" t="str">
        <f>IF(A87&lt;&gt;"",'04B Silver Field Treatment'!Y88,"")</f>
        <v/>
      </c>
      <c r="F87" t="str">
        <f>IF(A87&lt;&gt;"",'04B Silver Field Treatment'!J88,"")</f>
        <v/>
      </c>
      <c r="G87" t="str">
        <f>IF(A87&lt;&gt;"",'04B Silver Field Treatment'!K88,"")</f>
        <v/>
      </c>
      <c r="H87" t="str">
        <f>IF(A87&lt;&gt;"",'04B Silver Field Treatment'!M88,"")</f>
        <v/>
      </c>
      <c r="I87" t="str">
        <f>IF(A87&lt;&gt;"",'04B Silver Field Treatment'!N88,"")</f>
        <v/>
      </c>
      <c r="J87" t="str">
        <f>IF(A87&lt;&gt;"",'04B Silver Field Treatment'!O88,"")</f>
        <v/>
      </c>
      <c r="K87" t="str">
        <f>IF(A87&lt;&gt;"",'04B Silver Field Treatment'!P88,"")</f>
        <v/>
      </c>
      <c r="L87" t="str">
        <f>IF(A87&lt;&gt;"",'04B Silver Field Treatment'!V88,"")</f>
        <v/>
      </c>
      <c r="M87" t="str">
        <f>IF(A87&lt;&gt;"",IFERROR(_xludf.XLOOKUP(A87,'03 Bronze Intake'!B$6:B$367,'03 Bronze Intake'!G$6:G$367,""),""),"")</f>
        <v/>
      </c>
      <c r="N87" t="str">
        <f>IF(A87&lt;&gt;"",IFERROR(_xludf.XLOOKUP(A87,'03 Bronze Intake'!B$6:B$367,'03 Bronze Intake'!H$6:H$367,""),""),"")</f>
        <v/>
      </c>
      <c r="O87" t="str">
        <f>IF(A87&lt;&gt;"",IFERROR(_xludf.XLOOKUP(A87,'03 Bronze Intake'!B$6:B$367,'03 Bronze Intake'!M$6:M$367,""),""),"")</f>
        <v/>
      </c>
      <c r="P87" t="str">
        <f>IF(A87&lt;&gt;"",IFERROR(_xludf.XLOOKUP(A87,'03 Bronze Intake'!B$6:B$367,'03 Bronze Intake'!N$6:N$367,""),""),"")</f>
        <v/>
      </c>
      <c r="Q87" t="str">
        <f>IF(A87&lt;&gt;"",IFERROR(_xludf.XLOOKUP(A87,'03 Bronze Intake'!B$6:B$367,'03 Bronze Intake'!O$6:O$367,""),""),"")</f>
        <v/>
      </c>
    </row>
    <row r="88" spans="1:17" x14ac:dyDescent="0.25">
      <c r="A88" t="str">
        <f>IF('04B Silver Field Treatment'!A89&lt;&gt;"",'04B Silver Field Treatment'!A89,"")</f>
        <v/>
      </c>
      <c r="B88" t="str">
        <f>IF(A88&lt;&gt;"",'04B Silver Field Treatment'!B89,"")</f>
        <v/>
      </c>
      <c r="C88" t="str">
        <f>IF(A88&lt;&gt;"",'04B Silver Field Treatment'!D89,"")</f>
        <v/>
      </c>
      <c r="D88" t="str">
        <f>IF(A88&lt;&gt;"",'04B Silver Field Treatment'!X89,"")</f>
        <v/>
      </c>
      <c r="E88" t="str">
        <f>IF(A88&lt;&gt;"",'04B Silver Field Treatment'!Y89,"")</f>
        <v/>
      </c>
      <c r="F88" t="str">
        <f>IF(A88&lt;&gt;"",'04B Silver Field Treatment'!J89,"")</f>
        <v/>
      </c>
      <c r="G88" t="str">
        <f>IF(A88&lt;&gt;"",'04B Silver Field Treatment'!K89,"")</f>
        <v/>
      </c>
      <c r="H88" t="str">
        <f>IF(A88&lt;&gt;"",'04B Silver Field Treatment'!M89,"")</f>
        <v/>
      </c>
      <c r="I88" t="str">
        <f>IF(A88&lt;&gt;"",'04B Silver Field Treatment'!N89,"")</f>
        <v/>
      </c>
      <c r="J88" t="str">
        <f>IF(A88&lt;&gt;"",'04B Silver Field Treatment'!O89,"")</f>
        <v/>
      </c>
      <c r="K88" t="str">
        <f>IF(A88&lt;&gt;"",'04B Silver Field Treatment'!P89,"")</f>
        <v/>
      </c>
      <c r="L88" t="str">
        <f>IF(A88&lt;&gt;"",'04B Silver Field Treatment'!V89,"")</f>
        <v/>
      </c>
      <c r="M88" t="str">
        <f>IF(A88&lt;&gt;"",IFERROR(_xludf.XLOOKUP(A88,'03 Bronze Intake'!B$6:B$367,'03 Bronze Intake'!G$6:G$367,""),""),"")</f>
        <v/>
      </c>
      <c r="N88" t="str">
        <f>IF(A88&lt;&gt;"",IFERROR(_xludf.XLOOKUP(A88,'03 Bronze Intake'!B$6:B$367,'03 Bronze Intake'!H$6:H$367,""),""),"")</f>
        <v/>
      </c>
      <c r="O88" t="str">
        <f>IF(A88&lt;&gt;"",IFERROR(_xludf.XLOOKUP(A88,'03 Bronze Intake'!B$6:B$367,'03 Bronze Intake'!M$6:M$367,""),""),"")</f>
        <v/>
      </c>
      <c r="P88" t="str">
        <f>IF(A88&lt;&gt;"",IFERROR(_xludf.XLOOKUP(A88,'03 Bronze Intake'!B$6:B$367,'03 Bronze Intake'!N$6:N$367,""),""),"")</f>
        <v/>
      </c>
      <c r="Q88" t="str">
        <f>IF(A88&lt;&gt;"",IFERROR(_xludf.XLOOKUP(A88,'03 Bronze Intake'!B$6:B$367,'03 Bronze Intake'!O$6:O$367,""),""),"")</f>
        <v/>
      </c>
    </row>
    <row r="89" spans="1:17" x14ac:dyDescent="0.25">
      <c r="A89" t="str">
        <f>IF('04B Silver Field Treatment'!A90&lt;&gt;"",'04B Silver Field Treatment'!A90,"")</f>
        <v/>
      </c>
      <c r="B89" t="str">
        <f>IF(A89&lt;&gt;"",'04B Silver Field Treatment'!B90,"")</f>
        <v/>
      </c>
      <c r="C89" t="str">
        <f>IF(A89&lt;&gt;"",'04B Silver Field Treatment'!D90,"")</f>
        <v/>
      </c>
      <c r="D89" t="str">
        <f>IF(A89&lt;&gt;"",'04B Silver Field Treatment'!X90,"")</f>
        <v/>
      </c>
      <c r="E89" t="str">
        <f>IF(A89&lt;&gt;"",'04B Silver Field Treatment'!Y90,"")</f>
        <v/>
      </c>
      <c r="F89" t="str">
        <f>IF(A89&lt;&gt;"",'04B Silver Field Treatment'!J90,"")</f>
        <v/>
      </c>
      <c r="G89" t="str">
        <f>IF(A89&lt;&gt;"",'04B Silver Field Treatment'!K90,"")</f>
        <v/>
      </c>
      <c r="H89" t="str">
        <f>IF(A89&lt;&gt;"",'04B Silver Field Treatment'!M90,"")</f>
        <v/>
      </c>
      <c r="I89" t="str">
        <f>IF(A89&lt;&gt;"",'04B Silver Field Treatment'!N90,"")</f>
        <v/>
      </c>
      <c r="J89" t="str">
        <f>IF(A89&lt;&gt;"",'04B Silver Field Treatment'!O90,"")</f>
        <v/>
      </c>
      <c r="K89" t="str">
        <f>IF(A89&lt;&gt;"",'04B Silver Field Treatment'!P90,"")</f>
        <v/>
      </c>
      <c r="L89" t="str">
        <f>IF(A89&lt;&gt;"",'04B Silver Field Treatment'!V90,"")</f>
        <v/>
      </c>
      <c r="M89" t="str">
        <f>IF(A89&lt;&gt;"",IFERROR(_xludf.XLOOKUP(A89,'03 Bronze Intake'!B$6:B$367,'03 Bronze Intake'!G$6:G$367,""),""),"")</f>
        <v/>
      </c>
      <c r="N89" t="str">
        <f>IF(A89&lt;&gt;"",IFERROR(_xludf.XLOOKUP(A89,'03 Bronze Intake'!B$6:B$367,'03 Bronze Intake'!H$6:H$367,""),""),"")</f>
        <v/>
      </c>
      <c r="O89" t="str">
        <f>IF(A89&lt;&gt;"",IFERROR(_xludf.XLOOKUP(A89,'03 Bronze Intake'!B$6:B$367,'03 Bronze Intake'!M$6:M$367,""),""),"")</f>
        <v/>
      </c>
      <c r="P89" t="str">
        <f>IF(A89&lt;&gt;"",IFERROR(_xludf.XLOOKUP(A89,'03 Bronze Intake'!B$6:B$367,'03 Bronze Intake'!N$6:N$367,""),""),"")</f>
        <v/>
      </c>
      <c r="Q89" t="str">
        <f>IF(A89&lt;&gt;"",IFERROR(_xludf.XLOOKUP(A89,'03 Bronze Intake'!B$6:B$367,'03 Bronze Intake'!O$6:O$367,""),""),"")</f>
        <v/>
      </c>
    </row>
    <row r="90" spans="1:17" x14ac:dyDescent="0.25">
      <c r="A90" t="str">
        <f>IF('04B Silver Field Treatment'!A91&lt;&gt;"",'04B Silver Field Treatment'!A91,"")</f>
        <v/>
      </c>
      <c r="B90" t="str">
        <f>IF(A90&lt;&gt;"",'04B Silver Field Treatment'!B91,"")</f>
        <v/>
      </c>
      <c r="C90" t="str">
        <f>IF(A90&lt;&gt;"",'04B Silver Field Treatment'!D91,"")</f>
        <v/>
      </c>
      <c r="D90" t="str">
        <f>IF(A90&lt;&gt;"",'04B Silver Field Treatment'!X91,"")</f>
        <v/>
      </c>
      <c r="E90" t="str">
        <f>IF(A90&lt;&gt;"",'04B Silver Field Treatment'!Y91,"")</f>
        <v/>
      </c>
      <c r="F90" t="str">
        <f>IF(A90&lt;&gt;"",'04B Silver Field Treatment'!J91,"")</f>
        <v/>
      </c>
      <c r="G90" t="str">
        <f>IF(A90&lt;&gt;"",'04B Silver Field Treatment'!K91,"")</f>
        <v/>
      </c>
      <c r="H90" t="str">
        <f>IF(A90&lt;&gt;"",'04B Silver Field Treatment'!M91,"")</f>
        <v/>
      </c>
      <c r="I90" t="str">
        <f>IF(A90&lt;&gt;"",'04B Silver Field Treatment'!N91,"")</f>
        <v/>
      </c>
      <c r="J90" t="str">
        <f>IF(A90&lt;&gt;"",'04B Silver Field Treatment'!O91,"")</f>
        <v/>
      </c>
      <c r="K90" t="str">
        <f>IF(A90&lt;&gt;"",'04B Silver Field Treatment'!P91,"")</f>
        <v/>
      </c>
      <c r="L90" t="str">
        <f>IF(A90&lt;&gt;"",'04B Silver Field Treatment'!V91,"")</f>
        <v/>
      </c>
      <c r="M90" t="str">
        <f>IF(A90&lt;&gt;"",IFERROR(_xludf.XLOOKUP(A90,'03 Bronze Intake'!B$6:B$367,'03 Bronze Intake'!G$6:G$367,""),""),"")</f>
        <v/>
      </c>
      <c r="N90" t="str">
        <f>IF(A90&lt;&gt;"",IFERROR(_xludf.XLOOKUP(A90,'03 Bronze Intake'!B$6:B$367,'03 Bronze Intake'!H$6:H$367,""),""),"")</f>
        <v/>
      </c>
      <c r="O90" t="str">
        <f>IF(A90&lt;&gt;"",IFERROR(_xludf.XLOOKUP(A90,'03 Bronze Intake'!B$6:B$367,'03 Bronze Intake'!M$6:M$367,""),""),"")</f>
        <v/>
      </c>
      <c r="P90" t="str">
        <f>IF(A90&lt;&gt;"",IFERROR(_xludf.XLOOKUP(A90,'03 Bronze Intake'!B$6:B$367,'03 Bronze Intake'!N$6:N$367,""),""),"")</f>
        <v/>
      </c>
      <c r="Q90" t="str">
        <f>IF(A90&lt;&gt;"",IFERROR(_xludf.XLOOKUP(A90,'03 Bronze Intake'!B$6:B$367,'03 Bronze Intake'!O$6:O$367,""),""),"")</f>
        <v/>
      </c>
    </row>
    <row r="91" spans="1:17" x14ac:dyDescent="0.25">
      <c r="A91" t="str">
        <f>IF('04B Silver Field Treatment'!A92&lt;&gt;"",'04B Silver Field Treatment'!A92,"")</f>
        <v/>
      </c>
      <c r="B91" t="str">
        <f>IF(A91&lt;&gt;"",'04B Silver Field Treatment'!B92,"")</f>
        <v/>
      </c>
      <c r="C91" t="str">
        <f>IF(A91&lt;&gt;"",'04B Silver Field Treatment'!D92,"")</f>
        <v/>
      </c>
      <c r="D91" t="str">
        <f>IF(A91&lt;&gt;"",'04B Silver Field Treatment'!X92,"")</f>
        <v/>
      </c>
      <c r="E91" t="str">
        <f>IF(A91&lt;&gt;"",'04B Silver Field Treatment'!Y92,"")</f>
        <v/>
      </c>
      <c r="F91" t="str">
        <f>IF(A91&lt;&gt;"",'04B Silver Field Treatment'!J92,"")</f>
        <v/>
      </c>
      <c r="G91" t="str">
        <f>IF(A91&lt;&gt;"",'04B Silver Field Treatment'!K92,"")</f>
        <v/>
      </c>
      <c r="H91" t="str">
        <f>IF(A91&lt;&gt;"",'04B Silver Field Treatment'!M92,"")</f>
        <v/>
      </c>
      <c r="I91" t="str">
        <f>IF(A91&lt;&gt;"",'04B Silver Field Treatment'!N92,"")</f>
        <v/>
      </c>
      <c r="J91" t="str">
        <f>IF(A91&lt;&gt;"",'04B Silver Field Treatment'!O92,"")</f>
        <v/>
      </c>
      <c r="K91" t="str">
        <f>IF(A91&lt;&gt;"",'04B Silver Field Treatment'!P92,"")</f>
        <v/>
      </c>
      <c r="L91" t="str">
        <f>IF(A91&lt;&gt;"",'04B Silver Field Treatment'!V92,"")</f>
        <v/>
      </c>
      <c r="M91" t="str">
        <f>IF(A91&lt;&gt;"",IFERROR(_xludf.XLOOKUP(A91,'03 Bronze Intake'!B$6:B$367,'03 Bronze Intake'!G$6:G$367,""),""),"")</f>
        <v/>
      </c>
      <c r="N91" t="str">
        <f>IF(A91&lt;&gt;"",IFERROR(_xludf.XLOOKUP(A91,'03 Bronze Intake'!B$6:B$367,'03 Bronze Intake'!H$6:H$367,""),""),"")</f>
        <v/>
      </c>
      <c r="O91" t="str">
        <f>IF(A91&lt;&gt;"",IFERROR(_xludf.XLOOKUP(A91,'03 Bronze Intake'!B$6:B$367,'03 Bronze Intake'!M$6:M$367,""),""),"")</f>
        <v/>
      </c>
      <c r="P91" t="str">
        <f>IF(A91&lt;&gt;"",IFERROR(_xludf.XLOOKUP(A91,'03 Bronze Intake'!B$6:B$367,'03 Bronze Intake'!N$6:N$367,""),""),"")</f>
        <v/>
      </c>
      <c r="Q91" t="str">
        <f>IF(A91&lt;&gt;"",IFERROR(_xludf.XLOOKUP(A91,'03 Bronze Intake'!B$6:B$367,'03 Bronze Intake'!O$6:O$367,""),""),"")</f>
        <v/>
      </c>
    </row>
    <row r="92" spans="1:17" x14ac:dyDescent="0.25">
      <c r="A92" t="str">
        <f>IF('04B Silver Field Treatment'!A93&lt;&gt;"",'04B Silver Field Treatment'!A93,"")</f>
        <v/>
      </c>
      <c r="B92" t="str">
        <f>IF(A92&lt;&gt;"",'04B Silver Field Treatment'!B93,"")</f>
        <v/>
      </c>
      <c r="C92" t="str">
        <f>IF(A92&lt;&gt;"",'04B Silver Field Treatment'!D93,"")</f>
        <v/>
      </c>
      <c r="D92" t="str">
        <f>IF(A92&lt;&gt;"",'04B Silver Field Treatment'!X93,"")</f>
        <v/>
      </c>
      <c r="E92" t="str">
        <f>IF(A92&lt;&gt;"",'04B Silver Field Treatment'!Y93,"")</f>
        <v/>
      </c>
      <c r="F92" t="str">
        <f>IF(A92&lt;&gt;"",'04B Silver Field Treatment'!J93,"")</f>
        <v/>
      </c>
      <c r="G92" t="str">
        <f>IF(A92&lt;&gt;"",'04B Silver Field Treatment'!K93,"")</f>
        <v/>
      </c>
      <c r="H92" t="str">
        <f>IF(A92&lt;&gt;"",'04B Silver Field Treatment'!M93,"")</f>
        <v/>
      </c>
      <c r="I92" t="str">
        <f>IF(A92&lt;&gt;"",'04B Silver Field Treatment'!N93,"")</f>
        <v/>
      </c>
      <c r="J92" t="str">
        <f>IF(A92&lt;&gt;"",'04B Silver Field Treatment'!O93,"")</f>
        <v/>
      </c>
      <c r="K92" t="str">
        <f>IF(A92&lt;&gt;"",'04B Silver Field Treatment'!P93,"")</f>
        <v/>
      </c>
      <c r="L92" t="str">
        <f>IF(A92&lt;&gt;"",'04B Silver Field Treatment'!V93,"")</f>
        <v/>
      </c>
      <c r="M92" t="str">
        <f>IF(A92&lt;&gt;"",IFERROR(_xludf.XLOOKUP(A92,'03 Bronze Intake'!B$6:B$367,'03 Bronze Intake'!G$6:G$367,""),""),"")</f>
        <v/>
      </c>
      <c r="N92" t="str">
        <f>IF(A92&lt;&gt;"",IFERROR(_xludf.XLOOKUP(A92,'03 Bronze Intake'!B$6:B$367,'03 Bronze Intake'!H$6:H$367,""),""),"")</f>
        <v/>
      </c>
      <c r="O92" t="str">
        <f>IF(A92&lt;&gt;"",IFERROR(_xludf.XLOOKUP(A92,'03 Bronze Intake'!B$6:B$367,'03 Bronze Intake'!M$6:M$367,""),""),"")</f>
        <v/>
      </c>
      <c r="P92" t="str">
        <f>IF(A92&lt;&gt;"",IFERROR(_xludf.XLOOKUP(A92,'03 Bronze Intake'!B$6:B$367,'03 Bronze Intake'!N$6:N$367,""),""),"")</f>
        <v/>
      </c>
      <c r="Q92" t="str">
        <f>IF(A92&lt;&gt;"",IFERROR(_xludf.XLOOKUP(A92,'03 Bronze Intake'!B$6:B$367,'03 Bronze Intake'!O$6:O$367,""),""),"")</f>
        <v/>
      </c>
    </row>
    <row r="93" spans="1:17" x14ac:dyDescent="0.25">
      <c r="A93" t="str">
        <f>IF('04B Silver Field Treatment'!A94&lt;&gt;"",'04B Silver Field Treatment'!A94,"")</f>
        <v/>
      </c>
      <c r="B93" t="str">
        <f>IF(A93&lt;&gt;"",'04B Silver Field Treatment'!B94,"")</f>
        <v/>
      </c>
      <c r="C93" t="str">
        <f>IF(A93&lt;&gt;"",'04B Silver Field Treatment'!D94,"")</f>
        <v/>
      </c>
      <c r="D93" t="str">
        <f>IF(A93&lt;&gt;"",'04B Silver Field Treatment'!X94,"")</f>
        <v/>
      </c>
      <c r="E93" t="str">
        <f>IF(A93&lt;&gt;"",'04B Silver Field Treatment'!Y94,"")</f>
        <v/>
      </c>
      <c r="F93" t="str">
        <f>IF(A93&lt;&gt;"",'04B Silver Field Treatment'!J94,"")</f>
        <v/>
      </c>
      <c r="G93" t="str">
        <f>IF(A93&lt;&gt;"",'04B Silver Field Treatment'!K94,"")</f>
        <v/>
      </c>
      <c r="H93" t="str">
        <f>IF(A93&lt;&gt;"",'04B Silver Field Treatment'!M94,"")</f>
        <v/>
      </c>
      <c r="I93" t="str">
        <f>IF(A93&lt;&gt;"",'04B Silver Field Treatment'!N94,"")</f>
        <v/>
      </c>
      <c r="J93" t="str">
        <f>IF(A93&lt;&gt;"",'04B Silver Field Treatment'!O94,"")</f>
        <v/>
      </c>
      <c r="K93" t="str">
        <f>IF(A93&lt;&gt;"",'04B Silver Field Treatment'!P94,"")</f>
        <v/>
      </c>
      <c r="L93" t="str">
        <f>IF(A93&lt;&gt;"",'04B Silver Field Treatment'!V94,"")</f>
        <v/>
      </c>
      <c r="M93" t="str">
        <f>IF(A93&lt;&gt;"",IFERROR(_xludf.XLOOKUP(A93,'03 Bronze Intake'!B$6:B$367,'03 Bronze Intake'!G$6:G$367,""),""),"")</f>
        <v/>
      </c>
      <c r="N93" t="str">
        <f>IF(A93&lt;&gt;"",IFERROR(_xludf.XLOOKUP(A93,'03 Bronze Intake'!B$6:B$367,'03 Bronze Intake'!H$6:H$367,""),""),"")</f>
        <v/>
      </c>
      <c r="O93" t="str">
        <f>IF(A93&lt;&gt;"",IFERROR(_xludf.XLOOKUP(A93,'03 Bronze Intake'!B$6:B$367,'03 Bronze Intake'!M$6:M$367,""),""),"")</f>
        <v/>
      </c>
      <c r="P93" t="str">
        <f>IF(A93&lt;&gt;"",IFERROR(_xludf.XLOOKUP(A93,'03 Bronze Intake'!B$6:B$367,'03 Bronze Intake'!N$6:N$367,""),""),"")</f>
        <v/>
      </c>
      <c r="Q93" t="str">
        <f>IF(A93&lt;&gt;"",IFERROR(_xludf.XLOOKUP(A93,'03 Bronze Intake'!B$6:B$367,'03 Bronze Intake'!O$6:O$367,""),""),"")</f>
        <v/>
      </c>
    </row>
    <row r="94" spans="1:17" x14ac:dyDescent="0.25">
      <c r="A94" t="str">
        <f>IF('04B Silver Field Treatment'!A95&lt;&gt;"",'04B Silver Field Treatment'!A95,"")</f>
        <v/>
      </c>
      <c r="B94" t="str">
        <f>IF(A94&lt;&gt;"",'04B Silver Field Treatment'!B95,"")</f>
        <v/>
      </c>
      <c r="C94" t="str">
        <f>IF(A94&lt;&gt;"",'04B Silver Field Treatment'!D95,"")</f>
        <v/>
      </c>
      <c r="D94" t="str">
        <f>IF(A94&lt;&gt;"",'04B Silver Field Treatment'!X95,"")</f>
        <v/>
      </c>
      <c r="E94" t="str">
        <f>IF(A94&lt;&gt;"",'04B Silver Field Treatment'!Y95,"")</f>
        <v/>
      </c>
      <c r="F94" t="str">
        <f>IF(A94&lt;&gt;"",'04B Silver Field Treatment'!J95,"")</f>
        <v/>
      </c>
      <c r="G94" t="str">
        <f>IF(A94&lt;&gt;"",'04B Silver Field Treatment'!K95,"")</f>
        <v/>
      </c>
      <c r="H94" t="str">
        <f>IF(A94&lt;&gt;"",'04B Silver Field Treatment'!M95,"")</f>
        <v/>
      </c>
      <c r="I94" t="str">
        <f>IF(A94&lt;&gt;"",'04B Silver Field Treatment'!N95,"")</f>
        <v/>
      </c>
      <c r="J94" t="str">
        <f>IF(A94&lt;&gt;"",'04B Silver Field Treatment'!O95,"")</f>
        <v/>
      </c>
      <c r="K94" t="str">
        <f>IF(A94&lt;&gt;"",'04B Silver Field Treatment'!P95,"")</f>
        <v/>
      </c>
      <c r="L94" t="str">
        <f>IF(A94&lt;&gt;"",'04B Silver Field Treatment'!V95,"")</f>
        <v/>
      </c>
      <c r="M94" t="str">
        <f>IF(A94&lt;&gt;"",IFERROR(_xludf.XLOOKUP(A94,'03 Bronze Intake'!B$6:B$367,'03 Bronze Intake'!G$6:G$367,""),""),"")</f>
        <v/>
      </c>
      <c r="N94" t="str">
        <f>IF(A94&lt;&gt;"",IFERROR(_xludf.XLOOKUP(A94,'03 Bronze Intake'!B$6:B$367,'03 Bronze Intake'!H$6:H$367,""),""),"")</f>
        <v/>
      </c>
      <c r="O94" t="str">
        <f>IF(A94&lt;&gt;"",IFERROR(_xludf.XLOOKUP(A94,'03 Bronze Intake'!B$6:B$367,'03 Bronze Intake'!M$6:M$367,""),""),"")</f>
        <v/>
      </c>
      <c r="P94" t="str">
        <f>IF(A94&lt;&gt;"",IFERROR(_xludf.XLOOKUP(A94,'03 Bronze Intake'!B$6:B$367,'03 Bronze Intake'!N$6:N$367,""),""),"")</f>
        <v/>
      </c>
      <c r="Q94" t="str">
        <f>IF(A94&lt;&gt;"",IFERROR(_xludf.XLOOKUP(A94,'03 Bronze Intake'!B$6:B$367,'03 Bronze Intake'!O$6:O$367,""),""),"")</f>
        <v/>
      </c>
    </row>
    <row r="95" spans="1:17" x14ac:dyDescent="0.25">
      <c r="A95" t="str">
        <f>IF('04B Silver Field Treatment'!A96&lt;&gt;"",'04B Silver Field Treatment'!A96,"")</f>
        <v/>
      </c>
      <c r="B95" t="str">
        <f>IF(A95&lt;&gt;"",'04B Silver Field Treatment'!B96,"")</f>
        <v/>
      </c>
      <c r="C95" t="str">
        <f>IF(A95&lt;&gt;"",'04B Silver Field Treatment'!D96,"")</f>
        <v/>
      </c>
      <c r="D95" t="str">
        <f>IF(A95&lt;&gt;"",'04B Silver Field Treatment'!X96,"")</f>
        <v/>
      </c>
      <c r="E95" t="str">
        <f>IF(A95&lt;&gt;"",'04B Silver Field Treatment'!Y96,"")</f>
        <v/>
      </c>
      <c r="F95" t="str">
        <f>IF(A95&lt;&gt;"",'04B Silver Field Treatment'!J96,"")</f>
        <v/>
      </c>
      <c r="G95" t="str">
        <f>IF(A95&lt;&gt;"",'04B Silver Field Treatment'!K96,"")</f>
        <v/>
      </c>
      <c r="H95" t="str">
        <f>IF(A95&lt;&gt;"",'04B Silver Field Treatment'!M96,"")</f>
        <v/>
      </c>
      <c r="I95" t="str">
        <f>IF(A95&lt;&gt;"",'04B Silver Field Treatment'!N96,"")</f>
        <v/>
      </c>
      <c r="J95" t="str">
        <f>IF(A95&lt;&gt;"",'04B Silver Field Treatment'!O96,"")</f>
        <v/>
      </c>
      <c r="K95" t="str">
        <f>IF(A95&lt;&gt;"",'04B Silver Field Treatment'!P96,"")</f>
        <v/>
      </c>
      <c r="L95" t="str">
        <f>IF(A95&lt;&gt;"",'04B Silver Field Treatment'!V96,"")</f>
        <v/>
      </c>
      <c r="M95" t="str">
        <f>IF(A95&lt;&gt;"",IFERROR(_xludf.XLOOKUP(A95,'03 Bronze Intake'!B$6:B$367,'03 Bronze Intake'!G$6:G$367,""),""),"")</f>
        <v/>
      </c>
      <c r="N95" t="str">
        <f>IF(A95&lt;&gt;"",IFERROR(_xludf.XLOOKUP(A95,'03 Bronze Intake'!B$6:B$367,'03 Bronze Intake'!H$6:H$367,""),""),"")</f>
        <v/>
      </c>
      <c r="O95" t="str">
        <f>IF(A95&lt;&gt;"",IFERROR(_xludf.XLOOKUP(A95,'03 Bronze Intake'!B$6:B$367,'03 Bronze Intake'!M$6:M$367,""),""),"")</f>
        <v/>
      </c>
      <c r="P95" t="str">
        <f>IF(A95&lt;&gt;"",IFERROR(_xludf.XLOOKUP(A95,'03 Bronze Intake'!B$6:B$367,'03 Bronze Intake'!N$6:N$367,""),""),"")</f>
        <v/>
      </c>
      <c r="Q95" t="str">
        <f>IF(A95&lt;&gt;"",IFERROR(_xludf.XLOOKUP(A95,'03 Bronze Intake'!B$6:B$367,'03 Bronze Intake'!O$6:O$367,""),""),"")</f>
        <v/>
      </c>
    </row>
    <row r="96" spans="1:17" x14ac:dyDescent="0.25">
      <c r="A96" t="str">
        <f>IF('04B Silver Field Treatment'!A97&lt;&gt;"",'04B Silver Field Treatment'!A97,"")</f>
        <v/>
      </c>
      <c r="B96" t="str">
        <f>IF(A96&lt;&gt;"",'04B Silver Field Treatment'!B97,"")</f>
        <v/>
      </c>
      <c r="C96" t="str">
        <f>IF(A96&lt;&gt;"",'04B Silver Field Treatment'!D97,"")</f>
        <v/>
      </c>
      <c r="D96" t="str">
        <f>IF(A96&lt;&gt;"",'04B Silver Field Treatment'!X97,"")</f>
        <v/>
      </c>
      <c r="E96" t="str">
        <f>IF(A96&lt;&gt;"",'04B Silver Field Treatment'!Y97,"")</f>
        <v/>
      </c>
      <c r="F96" t="str">
        <f>IF(A96&lt;&gt;"",'04B Silver Field Treatment'!J97,"")</f>
        <v/>
      </c>
      <c r="G96" t="str">
        <f>IF(A96&lt;&gt;"",'04B Silver Field Treatment'!K97,"")</f>
        <v/>
      </c>
      <c r="H96" t="str">
        <f>IF(A96&lt;&gt;"",'04B Silver Field Treatment'!M97,"")</f>
        <v/>
      </c>
      <c r="I96" t="str">
        <f>IF(A96&lt;&gt;"",'04B Silver Field Treatment'!N97,"")</f>
        <v/>
      </c>
      <c r="J96" t="str">
        <f>IF(A96&lt;&gt;"",'04B Silver Field Treatment'!O97,"")</f>
        <v/>
      </c>
      <c r="K96" t="str">
        <f>IF(A96&lt;&gt;"",'04B Silver Field Treatment'!P97,"")</f>
        <v/>
      </c>
      <c r="L96" t="str">
        <f>IF(A96&lt;&gt;"",'04B Silver Field Treatment'!V97,"")</f>
        <v/>
      </c>
      <c r="M96" t="str">
        <f>IF(A96&lt;&gt;"",IFERROR(_xludf.XLOOKUP(A96,'03 Bronze Intake'!B$6:B$367,'03 Bronze Intake'!G$6:G$367,""),""),"")</f>
        <v/>
      </c>
      <c r="N96" t="str">
        <f>IF(A96&lt;&gt;"",IFERROR(_xludf.XLOOKUP(A96,'03 Bronze Intake'!B$6:B$367,'03 Bronze Intake'!H$6:H$367,""),""),"")</f>
        <v/>
      </c>
      <c r="O96" t="str">
        <f>IF(A96&lt;&gt;"",IFERROR(_xludf.XLOOKUP(A96,'03 Bronze Intake'!B$6:B$367,'03 Bronze Intake'!M$6:M$367,""),""),"")</f>
        <v/>
      </c>
      <c r="P96" t="str">
        <f>IF(A96&lt;&gt;"",IFERROR(_xludf.XLOOKUP(A96,'03 Bronze Intake'!B$6:B$367,'03 Bronze Intake'!N$6:N$367,""),""),"")</f>
        <v/>
      </c>
      <c r="Q96" t="str">
        <f>IF(A96&lt;&gt;"",IFERROR(_xludf.XLOOKUP(A96,'03 Bronze Intake'!B$6:B$367,'03 Bronze Intake'!O$6:O$367,""),""),"")</f>
        <v/>
      </c>
    </row>
    <row r="97" spans="1:17" x14ac:dyDescent="0.25">
      <c r="A97" t="str">
        <f>IF('04B Silver Field Treatment'!A98&lt;&gt;"",'04B Silver Field Treatment'!A98,"")</f>
        <v/>
      </c>
      <c r="B97" t="str">
        <f>IF(A97&lt;&gt;"",'04B Silver Field Treatment'!B98,"")</f>
        <v/>
      </c>
      <c r="C97" t="str">
        <f>IF(A97&lt;&gt;"",'04B Silver Field Treatment'!D98,"")</f>
        <v/>
      </c>
      <c r="D97" t="str">
        <f>IF(A97&lt;&gt;"",'04B Silver Field Treatment'!X98,"")</f>
        <v/>
      </c>
      <c r="E97" t="str">
        <f>IF(A97&lt;&gt;"",'04B Silver Field Treatment'!Y98,"")</f>
        <v/>
      </c>
      <c r="F97" t="str">
        <f>IF(A97&lt;&gt;"",'04B Silver Field Treatment'!J98,"")</f>
        <v/>
      </c>
      <c r="G97" t="str">
        <f>IF(A97&lt;&gt;"",'04B Silver Field Treatment'!K98,"")</f>
        <v/>
      </c>
      <c r="H97" t="str">
        <f>IF(A97&lt;&gt;"",'04B Silver Field Treatment'!M98,"")</f>
        <v/>
      </c>
      <c r="I97" t="str">
        <f>IF(A97&lt;&gt;"",'04B Silver Field Treatment'!N98,"")</f>
        <v/>
      </c>
      <c r="J97" t="str">
        <f>IF(A97&lt;&gt;"",'04B Silver Field Treatment'!O98,"")</f>
        <v/>
      </c>
      <c r="K97" t="str">
        <f>IF(A97&lt;&gt;"",'04B Silver Field Treatment'!P98,"")</f>
        <v/>
      </c>
      <c r="L97" t="str">
        <f>IF(A97&lt;&gt;"",'04B Silver Field Treatment'!V98,"")</f>
        <v/>
      </c>
      <c r="M97" t="str">
        <f>IF(A97&lt;&gt;"",IFERROR(_xludf.XLOOKUP(A97,'03 Bronze Intake'!B$6:B$367,'03 Bronze Intake'!G$6:G$367,""),""),"")</f>
        <v/>
      </c>
      <c r="N97" t="str">
        <f>IF(A97&lt;&gt;"",IFERROR(_xludf.XLOOKUP(A97,'03 Bronze Intake'!B$6:B$367,'03 Bronze Intake'!H$6:H$367,""),""),"")</f>
        <v/>
      </c>
      <c r="O97" t="str">
        <f>IF(A97&lt;&gt;"",IFERROR(_xludf.XLOOKUP(A97,'03 Bronze Intake'!B$6:B$367,'03 Bronze Intake'!M$6:M$367,""),""),"")</f>
        <v/>
      </c>
      <c r="P97" t="str">
        <f>IF(A97&lt;&gt;"",IFERROR(_xludf.XLOOKUP(A97,'03 Bronze Intake'!B$6:B$367,'03 Bronze Intake'!N$6:N$367,""),""),"")</f>
        <v/>
      </c>
      <c r="Q97" t="str">
        <f>IF(A97&lt;&gt;"",IFERROR(_xludf.XLOOKUP(A97,'03 Bronze Intake'!B$6:B$367,'03 Bronze Intake'!O$6:O$367,""),""),"")</f>
        <v/>
      </c>
    </row>
    <row r="98" spans="1:17" x14ac:dyDescent="0.25">
      <c r="A98" t="str">
        <f>IF('04B Silver Field Treatment'!A99&lt;&gt;"",'04B Silver Field Treatment'!A99,"")</f>
        <v/>
      </c>
      <c r="B98" t="str">
        <f>IF(A98&lt;&gt;"",'04B Silver Field Treatment'!B99,"")</f>
        <v/>
      </c>
      <c r="C98" t="str">
        <f>IF(A98&lt;&gt;"",'04B Silver Field Treatment'!D99,"")</f>
        <v/>
      </c>
      <c r="D98" t="str">
        <f>IF(A98&lt;&gt;"",'04B Silver Field Treatment'!X99,"")</f>
        <v/>
      </c>
      <c r="E98" t="str">
        <f>IF(A98&lt;&gt;"",'04B Silver Field Treatment'!Y99,"")</f>
        <v/>
      </c>
      <c r="F98" t="str">
        <f>IF(A98&lt;&gt;"",'04B Silver Field Treatment'!J99,"")</f>
        <v/>
      </c>
      <c r="G98" t="str">
        <f>IF(A98&lt;&gt;"",'04B Silver Field Treatment'!K99,"")</f>
        <v/>
      </c>
      <c r="H98" t="str">
        <f>IF(A98&lt;&gt;"",'04B Silver Field Treatment'!M99,"")</f>
        <v/>
      </c>
      <c r="I98" t="str">
        <f>IF(A98&lt;&gt;"",'04B Silver Field Treatment'!N99,"")</f>
        <v/>
      </c>
      <c r="J98" t="str">
        <f>IF(A98&lt;&gt;"",'04B Silver Field Treatment'!O99,"")</f>
        <v/>
      </c>
      <c r="K98" t="str">
        <f>IF(A98&lt;&gt;"",'04B Silver Field Treatment'!P99,"")</f>
        <v/>
      </c>
      <c r="L98" t="str">
        <f>IF(A98&lt;&gt;"",'04B Silver Field Treatment'!V99,"")</f>
        <v/>
      </c>
      <c r="M98" t="str">
        <f>IF(A98&lt;&gt;"",IFERROR(_xludf.XLOOKUP(A98,'03 Bronze Intake'!B$6:B$367,'03 Bronze Intake'!G$6:G$367,""),""),"")</f>
        <v/>
      </c>
      <c r="N98" t="str">
        <f>IF(A98&lt;&gt;"",IFERROR(_xludf.XLOOKUP(A98,'03 Bronze Intake'!B$6:B$367,'03 Bronze Intake'!H$6:H$367,""),""),"")</f>
        <v/>
      </c>
      <c r="O98" t="str">
        <f>IF(A98&lt;&gt;"",IFERROR(_xludf.XLOOKUP(A98,'03 Bronze Intake'!B$6:B$367,'03 Bronze Intake'!M$6:M$367,""),""),"")</f>
        <v/>
      </c>
      <c r="P98" t="str">
        <f>IF(A98&lt;&gt;"",IFERROR(_xludf.XLOOKUP(A98,'03 Bronze Intake'!B$6:B$367,'03 Bronze Intake'!N$6:N$367,""),""),"")</f>
        <v/>
      </c>
      <c r="Q98" t="str">
        <f>IF(A98&lt;&gt;"",IFERROR(_xludf.XLOOKUP(A98,'03 Bronze Intake'!B$6:B$367,'03 Bronze Intake'!O$6:O$367,""),""),"")</f>
        <v/>
      </c>
    </row>
    <row r="99" spans="1:17" x14ac:dyDescent="0.25">
      <c r="A99" t="str">
        <f>IF('04B Silver Field Treatment'!A100&lt;&gt;"",'04B Silver Field Treatment'!A100,"")</f>
        <v/>
      </c>
      <c r="B99" t="str">
        <f>IF(A99&lt;&gt;"",'04B Silver Field Treatment'!B100,"")</f>
        <v/>
      </c>
      <c r="C99" t="str">
        <f>IF(A99&lt;&gt;"",'04B Silver Field Treatment'!D100,"")</f>
        <v/>
      </c>
      <c r="D99" t="str">
        <f>IF(A99&lt;&gt;"",'04B Silver Field Treatment'!X100,"")</f>
        <v/>
      </c>
      <c r="E99" t="str">
        <f>IF(A99&lt;&gt;"",'04B Silver Field Treatment'!Y100,"")</f>
        <v/>
      </c>
      <c r="F99" t="str">
        <f>IF(A99&lt;&gt;"",'04B Silver Field Treatment'!J100,"")</f>
        <v/>
      </c>
      <c r="G99" t="str">
        <f>IF(A99&lt;&gt;"",'04B Silver Field Treatment'!K100,"")</f>
        <v/>
      </c>
      <c r="H99" t="str">
        <f>IF(A99&lt;&gt;"",'04B Silver Field Treatment'!M100,"")</f>
        <v/>
      </c>
      <c r="I99" t="str">
        <f>IF(A99&lt;&gt;"",'04B Silver Field Treatment'!N100,"")</f>
        <v/>
      </c>
      <c r="J99" t="str">
        <f>IF(A99&lt;&gt;"",'04B Silver Field Treatment'!O100,"")</f>
        <v/>
      </c>
      <c r="K99" t="str">
        <f>IF(A99&lt;&gt;"",'04B Silver Field Treatment'!P100,"")</f>
        <v/>
      </c>
      <c r="L99" t="str">
        <f>IF(A99&lt;&gt;"",'04B Silver Field Treatment'!V100,"")</f>
        <v/>
      </c>
      <c r="M99" t="str">
        <f>IF(A99&lt;&gt;"",IFERROR(_xludf.XLOOKUP(A99,'03 Bronze Intake'!B$6:B$367,'03 Bronze Intake'!G$6:G$367,""),""),"")</f>
        <v/>
      </c>
      <c r="N99" t="str">
        <f>IF(A99&lt;&gt;"",IFERROR(_xludf.XLOOKUP(A99,'03 Bronze Intake'!B$6:B$367,'03 Bronze Intake'!H$6:H$367,""),""),"")</f>
        <v/>
      </c>
      <c r="O99" t="str">
        <f>IF(A99&lt;&gt;"",IFERROR(_xludf.XLOOKUP(A99,'03 Bronze Intake'!B$6:B$367,'03 Bronze Intake'!M$6:M$367,""),""),"")</f>
        <v/>
      </c>
      <c r="P99" t="str">
        <f>IF(A99&lt;&gt;"",IFERROR(_xludf.XLOOKUP(A99,'03 Bronze Intake'!B$6:B$367,'03 Bronze Intake'!N$6:N$367,""),""),"")</f>
        <v/>
      </c>
      <c r="Q99" t="str">
        <f>IF(A99&lt;&gt;"",IFERROR(_xludf.XLOOKUP(A99,'03 Bronze Intake'!B$6:B$367,'03 Bronze Intake'!O$6:O$367,""),""),"")</f>
        <v/>
      </c>
    </row>
    <row r="100" spans="1:17" x14ac:dyDescent="0.25">
      <c r="A100" t="str">
        <f>IF('04B Silver Field Treatment'!A101&lt;&gt;"",'04B Silver Field Treatment'!A101,"")</f>
        <v/>
      </c>
      <c r="B100" t="str">
        <f>IF(A100&lt;&gt;"",'04B Silver Field Treatment'!B101,"")</f>
        <v/>
      </c>
      <c r="C100" t="str">
        <f>IF(A100&lt;&gt;"",'04B Silver Field Treatment'!D101,"")</f>
        <v/>
      </c>
      <c r="D100" t="str">
        <f>IF(A100&lt;&gt;"",'04B Silver Field Treatment'!X101,"")</f>
        <v/>
      </c>
      <c r="E100" t="str">
        <f>IF(A100&lt;&gt;"",'04B Silver Field Treatment'!Y101,"")</f>
        <v/>
      </c>
      <c r="F100" t="str">
        <f>IF(A100&lt;&gt;"",'04B Silver Field Treatment'!J101,"")</f>
        <v/>
      </c>
      <c r="G100" t="str">
        <f>IF(A100&lt;&gt;"",'04B Silver Field Treatment'!K101,"")</f>
        <v/>
      </c>
      <c r="H100" t="str">
        <f>IF(A100&lt;&gt;"",'04B Silver Field Treatment'!M101,"")</f>
        <v/>
      </c>
      <c r="I100" t="str">
        <f>IF(A100&lt;&gt;"",'04B Silver Field Treatment'!N101,"")</f>
        <v/>
      </c>
      <c r="J100" t="str">
        <f>IF(A100&lt;&gt;"",'04B Silver Field Treatment'!O101,"")</f>
        <v/>
      </c>
      <c r="K100" t="str">
        <f>IF(A100&lt;&gt;"",'04B Silver Field Treatment'!P101,"")</f>
        <v/>
      </c>
      <c r="L100" t="str">
        <f>IF(A100&lt;&gt;"",'04B Silver Field Treatment'!V101,"")</f>
        <v/>
      </c>
      <c r="M100" t="str">
        <f>IF(A100&lt;&gt;"",IFERROR(_xludf.XLOOKUP(A100,'03 Bronze Intake'!B$6:B$367,'03 Bronze Intake'!G$6:G$367,""),""),"")</f>
        <v/>
      </c>
      <c r="N100" t="str">
        <f>IF(A100&lt;&gt;"",IFERROR(_xludf.XLOOKUP(A100,'03 Bronze Intake'!B$6:B$367,'03 Bronze Intake'!H$6:H$367,""),""),"")</f>
        <v/>
      </c>
      <c r="O100" t="str">
        <f>IF(A100&lt;&gt;"",IFERROR(_xludf.XLOOKUP(A100,'03 Bronze Intake'!B$6:B$367,'03 Bronze Intake'!M$6:M$367,""),""),"")</f>
        <v/>
      </c>
      <c r="P100" t="str">
        <f>IF(A100&lt;&gt;"",IFERROR(_xludf.XLOOKUP(A100,'03 Bronze Intake'!B$6:B$367,'03 Bronze Intake'!N$6:N$367,""),""),"")</f>
        <v/>
      </c>
      <c r="Q100" t="str">
        <f>IF(A100&lt;&gt;"",IFERROR(_xludf.XLOOKUP(A100,'03 Bronze Intake'!B$6:B$367,'03 Bronze Intake'!O$6:O$367,""),""),"")</f>
        <v/>
      </c>
    </row>
    <row r="101" spans="1:17" x14ac:dyDescent="0.25">
      <c r="A101" t="str">
        <f>IF('04B Silver Field Treatment'!A102&lt;&gt;"",'04B Silver Field Treatment'!A102,"")</f>
        <v/>
      </c>
      <c r="B101" t="str">
        <f>IF(A101&lt;&gt;"",'04B Silver Field Treatment'!B102,"")</f>
        <v/>
      </c>
      <c r="C101" t="str">
        <f>IF(A101&lt;&gt;"",'04B Silver Field Treatment'!D102,"")</f>
        <v/>
      </c>
      <c r="D101" t="str">
        <f>IF(A101&lt;&gt;"",'04B Silver Field Treatment'!X102,"")</f>
        <v/>
      </c>
      <c r="E101" t="str">
        <f>IF(A101&lt;&gt;"",'04B Silver Field Treatment'!Y102,"")</f>
        <v/>
      </c>
      <c r="F101" t="str">
        <f>IF(A101&lt;&gt;"",'04B Silver Field Treatment'!J102,"")</f>
        <v/>
      </c>
      <c r="G101" t="str">
        <f>IF(A101&lt;&gt;"",'04B Silver Field Treatment'!K102,"")</f>
        <v/>
      </c>
      <c r="H101" t="str">
        <f>IF(A101&lt;&gt;"",'04B Silver Field Treatment'!M102,"")</f>
        <v/>
      </c>
      <c r="I101" t="str">
        <f>IF(A101&lt;&gt;"",'04B Silver Field Treatment'!N102,"")</f>
        <v/>
      </c>
      <c r="J101" t="str">
        <f>IF(A101&lt;&gt;"",'04B Silver Field Treatment'!O102,"")</f>
        <v/>
      </c>
      <c r="K101" t="str">
        <f>IF(A101&lt;&gt;"",'04B Silver Field Treatment'!P102,"")</f>
        <v/>
      </c>
      <c r="L101" t="str">
        <f>IF(A101&lt;&gt;"",'04B Silver Field Treatment'!V102,"")</f>
        <v/>
      </c>
      <c r="M101" t="str">
        <f>IF(A101&lt;&gt;"",IFERROR(_xludf.XLOOKUP(A101,'03 Bronze Intake'!B$6:B$367,'03 Bronze Intake'!G$6:G$367,""),""),"")</f>
        <v/>
      </c>
      <c r="N101" t="str">
        <f>IF(A101&lt;&gt;"",IFERROR(_xludf.XLOOKUP(A101,'03 Bronze Intake'!B$6:B$367,'03 Bronze Intake'!H$6:H$367,""),""),"")</f>
        <v/>
      </c>
      <c r="O101" t="str">
        <f>IF(A101&lt;&gt;"",IFERROR(_xludf.XLOOKUP(A101,'03 Bronze Intake'!B$6:B$367,'03 Bronze Intake'!M$6:M$367,""),""),"")</f>
        <v/>
      </c>
      <c r="P101" t="str">
        <f>IF(A101&lt;&gt;"",IFERROR(_xludf.XLOOKUP(A101,'03 Bronze Intake'!B$6:B$367,'03 Bronze Intake'!N$6:N$367,""),""),"")</f>
        <v/>
      </c>
      <c r="Q101" t="str">
        <f>IF(A101&lt;&gt;"",IFERROR(_xludf.XLOOKUP(A101,'03 Bronze Intake'!B$6:B$367,'03 Bronze Intake'!O$6:O$367,""),""),"")</f>
        <v/>
      </c>
    </row>
    <row r="102" spans="1:17" x14ac:dyDescent="0.25">
      <c r="A102" t="str">
        <f>IF('04B Silver Field Treatment'!A103&lt;&gt;"",'04B Silver Field Treatment'!A103,"")</f>
        <v/>
      </c>
      <c r="B102" t="str">
        <f>IF(A102&lt;&gt;"",'04B Silver Field Treatment'!B103,"")</f>
        <v/>
      </c>
      <c r="C102" t="str">
        <f>IF(A102&lt;&gt;"",'04B Silver Field Treatment'!D103,"")</f>
        <v/>
      </c>
      <c r="D102" t="str">
        <f>IF(A102&lt;&gt;"",'04B Silver Field Treatment'!X103,"")</f>
        <v/>
      </c>
      <c r="E102" t="str">
        <f>IF(A102&lt;&gt;"",'04B Silver Field Treatment'!Y103,"")</f>
        <v/>
      </c>
      <c r="F102" t="str">
        <f>IF(A102&lt;&gt;"",'04B Silver Field Treatment'!J103,"")</f>
        <v/>
      </c>
      <c r="G102" t="str">
        <f>IF(A102&lt;&gt;"",'04B Silver Field Treatment'!K103,"")</f>
        <v/>
      </c>
      <c r="H102" t="str">
        <f>IF(A102&lt;&gt;"",'04B Silver Field Treatment'!M103,"")</f>
        <v/>
      </c>
      <c r="I102" t="str">
        <f>IF(A102&lt;&gt;"",'04B Silver Field Treatment'!N103,"")</f>
        <v/>
      </c>
      <c r="J102" t="str">
        <f>IF(A102&lt;&gt;"",'04B Silver Field Treatment'!O103,"")</f>
        <v/>
      </c>
      <c r="K102" t="str">
        <f>IF(A102&lt;&gt;"",'04B Silver Field Treatment'!P103,"")</f>
        <v/>
      </c>
      <c r="L102" t="str">
        <f>IF(A102&lt;&gt;"",'04B Silver Field Treatment'!V103,"")</f>
        <v/>
      </c>
      <c r="M102" t="str">
        <f>IF(A102&lt;&gt;"",IFERROR(_xludf.XLOOKUP(A102,'03 Bronze Intake'!B$6:B$367,'03 Bronze Intake'!G$6:G$367,""),""),"")</f>
        <v/>
      </c>
      <c r="N102" t="str">
        <f>IF(A102&lt;&gt;"",IFERROR(_xludf.XLOOKUP(A102,'03 Bronze Intake'!B$6:B$367,'03 Bronze Intake'!H$6:H$367,""),""),"")</f>
        <v/>
      </c>
      <c r="O102" t="str">
        <f>IF(A102&lt;&gt;"",IFERROR(_xludf.XLOOKUP(A102,'03 Bronze Intake'!B$6:B$367,'03 Bronze Intake'!M$6:M$367,""),""),"")</f>
        <v/>
      </c>
      <c r="P102" t="str">
        <f>IF(A102&lt;&gt;"",IFERROR(_xludf.XLOOKUP(A102,'03 Bronze Intake'!B$6:B$367,'03 Bronze Intake'!N$6:N$367,""),""),"")</f>
        <v/>
      </c>
      <c r="Q102" t="str">
        <f>IF(A102&lt;&gt;"",IFERROR(_xludf.XLOOKUP(A102,'03 Bronze Intake'!B$6:B$367,'03 Bronze Intake'!O$6:O$367,""),""),"")</f>
        <v/>
      </c>
    </row>
    <row r="103" spans="1:17" x14ac:dyDescent="0.25">
      <c r="A103" t="str">
        <f>IF('04B Silver Field Treatment'!A104&lt;&gt;"",'04B Silver Field Treatment'!A104,"")</f>
        <v/>
      </c>
      <c r="B103" t="str">
        <f>IF(A103&lt;&gt;"",'04B Silver Field Treatment'!B104,"")</f>
        <v/>
      </c>
      <c r="C103" t="str">
        <f>IF(A103&lt;&gt;"",'04B Silver Field Treatment'!D104,"")</f>
        <v/>
      </c>
      <c r="D103" t="str">
        <f>IF(A103&lt;&gt;"",'04B Silver Field Treatment'!X104,"")</f>
        <v/>
      </c>
      <c r="E103" t="str">
        <f>IF(A103&lt;&gt;"",'04B Silver Field Treatment'!Y104,"")</f>
        <v/>
      </c>
      <c r="F103" t="str">
        <f>IF(A103&lt;&gt;"",'04B Silver Field Treatment'!J104,"")</f>
        <v/>
      </c>
      <c r="G103" t="str">
        <f>IF(A103&lt;&gt;"",'04B Silver Field Treatment'!K104,"")</f>
        <v/>
      </c>
      <c r="H103" t="str">
        <f>IF(A103&lt;&gt;"",'04B Silver Field Treatment'!M104,"")</f>
        <v/>
      </c>
      <c r="I103" t="str">
        <f>IF(A103&lt;&gt;"",'04B Silver Field Treatment'!N104,"")</f>
        <v/>
      </c>
      <c r="J103" t="str">
        <f>IF(A103&lt;&gt;"",'04B Silver Field Treatment'!O104,"")</f>
        <v/>
      </c>
      <c r="K103" t="str">
        <f>IF(A103&lt;&gt;"",'04B Silver Field Treatment'!P104,"")</f>
        <v/>
      </c>
      <c r="L103" t="str">
        <f>IF(A103&lt;&gt;"",'04B Silver Field Treatment'!V104,"")</f>
        <v/>
      </c>
      <c r="M103" t="str">
        <f>IF(A103&lt;&gt;"",IFERROR(_xludf.XLOOKUP(A103,'03 Bronze Intake'!B$6:B$367,'03 Bronze Intake'!G$6:G$367,""),""),"")</f>
        <v/>
      </c>
      <c r="N103" t="str">
        <f>IF(A103&lt;&gt;"",IFERROR(_xludf.XLOOKUP(A103,'03 Bronze Intake'!B$6:B$367,'03 Bronze Intake'!H$6:H$367,""),""),"")</f>
        <v/>
      </c>
      <c r="O103" t="str">
        <f>IF(A103&lt;&gt;"",IFERROR(_xludf.XLOOKUP(A103,'03 Bronze Intake'!B$6:B$367,'03 Bronze Intake'!M$6:M$367,""),""),"")</f>
        <v/>
      </c>
      <c r="P103" t="str">
        <f>IF(A103&lt;&gt;"",IFERROR(_xludf.XLOOKUP(A103,'03 Bronze Intake'!B$6:B$367,'03 Bronze Intake'!N$6:N$367,""),""),"")</f>
        <v/>
      </c>
      <c r="Q103" t="str">
        <f>IF(A103&lt;&gt;"",IFERROR(_xludf.XLOOKUP(A103,'03 Bronze Intake'!B$6:B$367,'03 Bronze Intake'!O$6:O$367,""),""),"")</f>
        <v/>
      </c>
    </row>
    <row r="104" spans="1:17" x14ac:dyDescent="0.25">
      <c r="A104" t="str">
        <f>IF('04B Silver Field Treatment'!A105&lt;&gt;"",'04B Silver Field Treatment'!A105,"")</f>
        <v/>
      </c>
      <c r="B104" t="str">
        <f>IF(A104&lt;&gt;"",'04B Silver Field Treatment'!B105,"")</f>
        <v/>
      </c>
      <c r="C104" t="str">
        <f>IF(A104&lt;&gt;"",'04B Silver Field Treatment'!D105,"")</f>
        <v/>
      </c>
      <c r="D104" t="str">
        <f>IF(A104&lt;&gt;"",'04B Silver Field Treatment'!X105,"")</f>
        <v/>
      </c>
      <c r="E104" t="str">
        <f>IF(A104&lt;&gt;"",'04B Silver Field Treatment'!Y105,"")</f>
        <v/>
      </c>
      <c r="F104" t="str">
        <f>IF(A104&lt;&gt;"",'04B Silver Field Treatment'!J105,"")</f>
        <v/>
      </c>
      <c r="G104" t="str">
        <f>IF(A104&lt;&gt;"",'04B Silver Field Treatment'!K105,"")</f>
        <v/>
      </c>
      <c r="H104" t="str">
        <f>IF(A104&lt;&gt;"",'04B Silver Field Treatment'!M105,"")</f>
        <v/>
      </c>
      <c r="I104" t="str">
        <f>IF(A104&lt;&gt;"",'04B Silver Field Treatment'!N105,"")</f>
        <v/>
      </c>
      <c r="J104" t="str">
        <f>IF(A104&lt;&gt;"",'04B Silver Field Treatment'!O105,"")</f>
        <v/>
      </c>
      <c r="K104" t="str">
        <f>IF(A104&lt;&gt;"",'04B Silver Field Treatment'!P105,"")</f>
        <v/>
      </c>
      <c r="L104" t="str">
        <f>IF(A104&lt;&gt;"",'04B Silver Field Treatment'!V105,"")</f>
        <v/>
      </c>
      <c r="M104" t="str">
        <f>IF(A104&lt;&gt;"",IFERROR(_xludf.XLOOKUP(A104,'03 Bronze Intake'!B$6:B$367,'03 Bronze Intake'!G$6:G$367,""),""),"")</f>
        <v/>
      </c>
      <c r="N104" t="str">
        <f>IF(A104&lt;&gt;"",IFERROR(_xludf.XLOOKUP(A104,'03 Bronze Intake'!B$6:B$367,'03 Bronze Intake'!H$6:H$367,""),""),"")</f>
        <v/>
      </c>
      <c r="O104" t="str">
        <f>IF(A104&lt;&gt;"",IFERROR(_xludf.XLOOKUP(A104,'03 Bronze Intake'!B$6:B$367,'03 Bronze Intake'!M$6:M$367,""),""),"")</f>
        <v/>
      </c>
      <c r="P104" t="str">
        <f>IF(A104&lt;&gt;"",IFERROR(_xludf.XLOOKUP(A104,'03 Bronze Intake'!B$6:B$367,'03 Bronze Intake'!N$6:N$367,""),""),"")</f>
        <v/>
      </c>
      <c r="Q104" t="str">
        <f>IF(A104&lt;&gt;"",IFERROR(_xludf.XLOOKUP(A104,'03 Bronze Intake'!B$6:B$367,'03 Bronze Intake'!O$6:O$367,""),""),"")</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00 Kit Guide</vt:lpstr>
      <vt:lpstr>01 Workshop Plan</vt:lpstr>
      <vt:lpstr>02 Source Inventory</vt:lpstr>
      <vt:lpstr>03 Bronze Intake</vt:lpstr>
      <vt:lpstr>04A Silver Dataset Design</vt:lpstr>
      <vt:lpstr>04B Silver Field Treatment</vt:lpstr>
      <vt:lpstr>05 Data Quality Rules</vt:lpstr>
      <vt:lpstr>06 Gold Product</vt:lpstr>
      <vt:lpstr>07 Access &amp; Sharing</vt:lpstr>
      <vt:lpstr>08 Roles</vt:lpstr>
      <vt:lpstr>09 Decisions</vt:lpstr>
      <vt:lpstr>10 RAID Log</vt:lpstr>
      <vt:lpstr>11 Lists</vt:lpstr>
      <vt:lpstr>90 Facilitator &amp; Sponsor View</vt:lpstr>
      <vt:lpstr>91 Data Steward View</vt:lpstr>
      <vt:lpstr>92 Databricks Implementer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Gilbertson, Peter</cp:lastModifiedBy>
  <dcterms:created xsi:type="dcterms:W3CDTF">2026-04-28T13:58:56Z</dcterms:created>
  <dcterms:modified xsi:type="dcterms:W3CDTF">2026-04-29T03:19:00Z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3b1a8e-41ed-4bc7-92d1-0305fbefd661_Enabled">
    <vt:lpwstr>true</vt:lpwstr>
  </property>
  <property fmtid="{D5CDD505-2E9C-101B-9397-08002B2CF9AE}" pid="3" name="MSIP_Label_ec3b1a8e-41ed-4bc7-92d1-0305fbefd661_SetDate">
    <vt:lpwstr>2026-04-28T16:22:29Z</vt:lpwstr>
  </property>
  <property fmtid="{D5CDD505-2E9C-101B-9397-08002B2CF9AE}" pid="4" name="MSIP_Label_ec3b1a8e-41ed-4bc7-92d1-0305fbefd661_Method">
    <vt:lpwstr>Standard</vt:lpwstr>
  </property>
  <property fmtid="{D5CDD505-2E9C-101B-9397-08002B2CF9AE}" pid="5" name="MSIP_Label_ec3b1a8e-41ed-4bc7-92d1-0305fbefd661_Name">
    <vt:lpwstr>M365-General - Anyone (Unrestricted)-Prod</vt:lpwstr>
  </property>
  <property fmtid="{D5CDD505-2E9C-101B-9397-08002B2CF9AE}" pid="6" name="MSIP_Label_ec3b1a8e-41ed-4bc7-92d1-0305fbefd661_SiteId">
    <vt:lpwstr>70af547c-69ab-416d-b4a6-543b5ce52b99</vt:lpwstr>
  </property>
  <property fmtid="{D5CDD505-2E9C-101B-9397-08002B2CF9AE}" pid="7" name="MSIP_Label_ec3b1a8e-41ed-4bc7-92d1-0305fbefd661_ActionId">
    <vt:lpwstr>02a14d07-8f17-4ba7-838e-ddf2a66b0f0c</vt:lpwstr>
  </property>
  <property fmtid="{D5CDD505-2E9C-101B-9397-08002B2CF9AE}" pid="8" name="MSIP_Label_ec3b1a8e-41ed-4bc7-92d1-0305fbefd661_ContentBits">
    <vt:lpwstr>0</vt:lpwstr>
  </property>
  <property fmtid="{D5CDD505-2E9C-101B-9397-08002B2CF9AE}" pid="9" name="MSIP_Label_ec3b1a8e-41ed-4bc7-92d1-0305fbefd661_Tag">
    <vt:lpwstr>10, 3, 0, 1</vt:lpwstr>
  </property>
</Properties>
</file>